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" sheetId="1" state="visible" r:id="rId3"/>
    <sheet name="Premissas" sheetId="2" state="visible" r:id="rId4"/>
    <sheet name="Unit Economics" sheetId="3" state="visible" r:id="rId5"/>
    <sheet name="Viabilidade" sheetId="4" state="visible" r:id="rId6"/>
    <sheet name="Cenários" sheetId="5" state="visible" r:id="rId7"/>
    <sheet name="Projeção 12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<sst xmlns="http://schemas.openxmlformats.org/spreadsheetml/2006/main" count="144" uniqueCount="135">
  <si>
    <t xml:space="preserve">ESTUDO DE VIABILIDADE ECONÔMICA — PLANNERS (BRASIL)</t>
  </si>
  <si>
    <t xml:space="preserve">Investimento inicial R$ 5.000 · 2 SKUs (Concurseiro / Treino) · Fase 1 (produção nacional)</t>
  </si>
  <si>
    <t xml:space="preserve">Gerado em 19/jun/2026 · Câmbio de planejamento USD/BRL ≈ R$ 5,20</t>
  </si>
  <si>
    <t xml:space="preserve">COMO USAR</t>
  </si>
  <si>
    <t xml:space="preserve">1. Edite SOMENTE as células AZUIS na aba "Premissas". Todo o resto recalcula sozinho.</t>
  </si>
  <si>
    <t xml:space="preserve">2. "Unit Economics" mostra a margem por canal (Direto x Marketplace x Blended).</t>
  </si>
  <si>
    <t xml:space="preserve">3. "Viabilidade" responde: o lote inicial recupera os R$ 5.000? A que % de venda?</t>
  </si>
  <si>
    <t xml:space="preserve">4. "Cenários" compara Conservador / Base / Otimista (preço, custo, canal, sell-through).</t>
  </si>
  <si>
    <t xml:space="preserve">5. "Projeção 12M" mostra a trajetória de resultado ao longo do 1º ano.</t>
  </si>
  <si>
    <t xml:space="preserve">LEGENDA DE CORES</t>
  </si>
  <si>
    <t xml:space="preserve">Azul = entradas editáveis | Preto = fórmulas | Verde = links entre abas | Amarelo = confirmar/atenção</t>
  </si>
  <si>
    <t xml:space="preserve">FONTES (datadas — jun/2026)</t>
  </si>
  <si>
    <t xml:space="preserve">• Preço concorrência: Planner do Concurseiro (Juspodivm) 2026 ~R$ 103 (Amazon); genéricos capa dura R$ 28–57 (Shopee); logbooks de treino importados R$ 51–64 (Amazon).</t>
  </si>
  <si>
    <t xml:space="preserve">• Taxas marketplace: Mercado Livre Clássico 10–14% / Premium 15–19% por categoria; ≥R$ 79 frete grátis obrigatório. Shopee 14% (ou 20% c/ frete grátis) + taxa fixa R$ 4 (&lt;R$80) a R$ 26 (&gt;R$200), teto removido em 2026 (XP, Tributei, E-commerce Brasil).</t>
  </si>
  <si>
    <t xml:space="preserve">• Mídia: Meta Ads BR 2026 — CPM Feed R$ 15–35, Reels/Stories R$ 8–20; CPC e-commerce R$ 0,80–3,00; conversão 1–3%; +~12% de tributos na fatura desde jan/2026 (Trafius, aintegrare, E-Dialog).</t>
  </si>
  <si>
    <t xml:space="preserve">• Câmbio USD/BRL ≈ R$ 5,18 em 17/jun/2026 (Investing.com).</t>
  </si>
  <si>
    <t xml:space="preserve">• Custo de produção e MOQ: ver consultoria de sourcing (gráfica BR micro-lote x China).</t>
  </si>
  <si>
    <t xml:space="preserve">AVISO</t>
  </si>
  <si>
    <t xml:space="preserve">Estimativas para apoio à decisão. Custos de produção devem ser confirmados por orçamento de gráfica; tributos/MEI por contador. Não constitui recomendação financeira.</t>
  </si>
  <si>
    <t xml:space="preserve">PREMISSAS — edite apenas as células azuis</t>
  </si>
  <si>
    <t xml:space="preserve">Investimento</t>
  </si>
  <si>
    <t xml:space="preserve">Material / 1º lote (R$)</t>
  </si>
  <si>
    <t xml:space="preserve">Marketing &amp; teste (R$)</t>
  </si>
  <si>
    <t xml:space="preserve">Investimento total (R$)</t>
  </si>
  <si>
    <t xml:space="preserve">Produto &amp; preço</t>
  </si>
  <si>
    <t xml:space="preserve">Preço de venda ao consumidor (R$)</t>
  </si>
  <si>
    <t xml:space="preserve">posicionado ~15% acima do Juspodivm (premium/perpétuo)</t>
  </si>
  <si>
    <t xml:space="preserve">Custo unitário — produção nacional micro-lote (R$)</t>
  </si>
  <si>
    <t xml:space="preserve">Tier B intermediário; Tier A premium ~R$ 50–58</t>
  </si>
  <si>
    <t xml:space="preserve">Unidades produzidas no 1º lote (un)</t>
  </si>
  <si>
    <t xml:space="preserve">Canais de venda</t>
  </si>
  <si>
    <t xml:space="preserve">Mix — % vendas canal direto</t>
  </si>
  <si>
    <t xml:space="preserve">Instagram + checkout próprio + pix</t>
  </si>
  <si>
    <t xml:space="preserve">Mix — % vendas marketplace</t>
  </si>
  <si>
    <t xml:space="preserve">Comissão marketplace (% s/ preço)</t>
  </si>
  <si>
    <t xml:space="preserve">ML Premium papelaria ~16,5%</t>
  </si>
  <si>
    <t xml:space="preserve">Taxa fixa marketplace (R$/item)</t>
  </si>
  <si>
    <t xml:space="preserve">faixa R$ 100–199,99 (Shopee 2026)</t>
  </si>
  <si>
    <t xml:space="preserve">Custo frete grátis marketplace (R$/venda)</t>
  </si>
  <si>
    <t xml:space="preserve">obrigatório p/ itens ≥ R$ 79</t>
  </si>
  <si>
    <t xml:space="preserve">Taxa de pagamento — canal direto (% s/ preço)</t>
  </si>
  <si>
    <t xml:space="preserve">blend pix (~1%) / cartão (~4%)</t>
  </si>
  <si>
    <t xml:space="preserve">Frete canal direto pago pela loja (R$)</t>
  </si>
  <si>
    <t xml:space="preserve">cliente paga o frete</t>
  </si>
  <si>
    <t xml:space="preserve">Operacional &amp; tributário</t>
  </si>
  <si>
    <t xml:space="preserve">Embalagem &amp; manuseio por pedido (R$)</t>
  </si>
  <si>
    <t xml:space="preserve">Provisão devoluções/perdas (% s/ preço)</t>
  </si>
  <si>
    <t xml:space="preserve">DAS MEI mensal (R$)</t>
  </si>
  <si>
    <t xml:space="preserve">CONFIRMAR 2026 (~5% do salário mín. + R$ 1)</t>
  </si>
  <si>
    <t xml:space="preserve">Meses do 1º ciclo</t>
  </si>
  <si>
    <t xml:space="preserve">Aquisição (teste pago)</t>
  </si>
  <si>
    <t xml:space="preserve">CAC médio pago no teste (R$/cliente)</t>
  </si>
  <si>
    <t xml:space="preserve">Meta Ads: CPC R$ 1,5–3 / conv. 1–3%</t>
  </si>
  <si>
    <t xml:space="preserve">Verba de mídia paga (R$)</t>
  </si>
  <si>
    <t xml:space="preserve">parte dos R$ 2.000 de teste</t>
  </si>
  <si>
    <t xml:space="preserve">Clientes via mídia paga (estimativa)</t>
  </si>
  <si>
    <t xml:space="preserve">UNIT ECONOMICS (por unidade vendida) — R$</t>
  </si>
  <si>
    <t xml:space="preserve">Canal Direto</t>
  </si>
  <si>
    <t xml:space="preserve">Marketplace</t>
  </si>
  <si>
    <t xml:space="preserve">Blended (mix)</t>
  </si>
  <si>
    <t xml:space="preserve">Preço de venda</t>
  </si>
  <si>
    <t xml:space="preserve">(−) Comissão marketplace</t>
  </si>
  <si>
    <t xml:space="preserve">(−) Taxa fixa marketplace</t>
  </si>
  <si>
    <t xml:space="preserve">(−) Frete (custo p/ loja)</t>
  </si>
  <si>
    <t xml:space="preserve">(−) Taxa de pagamento</t>
  </si>
  <si>
    <t xml:space="preserve">(−) Embalagem &amp; manuseio</t>
  </si>
  <si>
    <t xml:space="preserve">(−) Provisão devoluções</t>
  </si>
  <si>
    <t xml:space="preserve">(=) Contribuição/un vendida (excl. produto)</t>
  </si>
  <si>
    <t xml:space="preserve">(−) Custo do produto</t>
  </si>
  <si>
    <t xml:space="preserve">(=) Margem de contribuição (com produto)</t>
  </si>
  <si>
    <t xml:space="preserve">Margem de contribuição (%)</t>
  </si>
  <si>
    <t xml:space="preserve">Observação: a R$ 119, o marketplace consome ~48% do preço em taxas+frete — margem quase nula. O canal direto preserva a margem. Fase 1 = vender direto.</t>
  </si>
  <si>
    <t xml:space="preserve">VIABILIDADE &amp; PONTO DE EQUILÍBRIO (1º ciclo)</t>
  </si>
  <si>
    <t xml:space="preserve">   Material / 1º lote (R$)</t>
  </si>
  <si>
    <t xml:space="preserve">   Marketing &amp; teste (R$)</t>
  </si>
  <si>
    <t xml:space="preserve">Preço de venda (R$)</t>
  </si>
  <si>
    <t xml:space="preserve">Contribuição/un vendida — blended, excl. produto (R$)</t>
  </si>
  <si>
    <t xml:space="preserve">Margem de contribuição/un — blended, com produto (R$)</t>
  </si>
  <si>
    <t xml:space="preserve">PONTO DE EQUILÍBRIO (recuperar o investimento)</t>
  </si>
  <si>
    <t xml:space="preserve">Unidades p/ recuperar os R$ 5.000 (un)</t>
  </si>
  <si>
    <t xml:space="preserve">% do 1º lote que precisa vender p/ recuperar</t>
  </si>
  <si>
    <t xml:space="preserve">CENÁRIO: vender 100% do 1º lote</t>
  </si>
  <si>
    <t xml:space="preserve">Receita bruta (R$)</t>
  </si>
  <si>
    <t xml:space="preserve">(−) Custos variáveis de venda (R$)</t>
  </si>
  <si>
    <t xml:space="preserve">(−) Custo do produto (lote vendido) (R$)</t>
  </si>
  <si>
    <t xml:space="preserve">(−) Marketing &amp; teste (R$)</t>
  </si>
  <si>
    <t xml:space="preserve">(−) DAS MEI no ciclo (R$)</t>
  </si>
  <si>
    <t xml:space="preserve">(=) Lucro líquido do 1º ciclo (R$)</t>
  </si>
  <si>
    <t xml:space="preserve">ROI sobre o investimento (%)</t>
  </si>
  <si>
    <t xml:space="preserve">Lucro por unidade vendida no ciclo (R$)</t>
  </si>
  <si>
    <t xml:space="preserve">Reposição (2º lote+): o produto já está validado e a verba de teste já foi paga. Cada venda direta passa a render a margem de contribuição cheia. É aqui — e migrando a produção p/ a China na Fase 2 (custo R$ 25–33/un) — que o lucro escala.</t>
  </si>
  <si>
    <t xml:space="preserve">Nota: sobra de orçamento por arredondamento de unidades é desprezada.</t>
  </si>
  <si>
    <t xml:space="preserve">CENÁRIOS — 1º ciclo (R$ 5.000)</t>
  </si>
  <si>
    <t xml:space="preserve">Conservador</t>
  </si>
  <si>
    <t xml:space="preserve">Base</t>
  </si>
  <si>
    <t xml:space="preserve">Otimista</t>
  </si>
  <si>
    <t xml:space="preserve">ENTRADAS</t>
  </si>
  <si>
    <t xml:space="preserve">Custo unitário (R$)</t>
  </si>
  <si>
    <t xml:space="preserve">% canal direto</t>
  </si>
  <si>
    <t xml:space="preserve">Sell-through do lote (%)</t>
  </si>
  <si>
    <t xml:space="preserve">Material / lote (R$)</t>
  </si>
  <si>
    <t xml:space="preserve">Marketing (R$)</t>
  </si>
  <si>
    <t xml:space="preserve">RESULTADO</t>
  </si>
  <si>
    <t xml:space="preserve">Unidades produzidas (un)</t>
  </si>
  <si>
    <t xml:space="preserve">Unidades vendidas (un)</t>
  </si>
  <si>
    <t xml:space="preserve">Contrib. venda/un — direto (R$)</t>
  </si>
  <si>
    <t xml:space="preserve">Contrib. venda/un — marketplace (R$)</t>
  </si>
  <si>
    <t xml:space="preserve">Contrib. venda/un — blended (R$)</t>
  </si>
  <si>
    <t xml:space="preserve">MC/un blended (com produto) (R$)</t>
  </si>
  <si>
    <t xml:space="preserve">(−) COGS produto vendido (R$)</t>
  </si>
  <si>
    <t xml:space="preserve">(−) Estoque encalhado (R$)</t>
  </si>
  <si>
    <t xml:space="preserve">(−) Marketing (R$)</t>
  </si>
  <si>
    <t xml:space="preserve">(=) Lucro líquido do ciclo (R$)</t>
  </si>
  <si>
    <t xml:space="preserve">ROI sobre R$ 5.000 (%)</t>
  </si>
  <si>
    <t xml:space="preserve">Lucro/un vendida (R$)</t>
  </si>
  <si>
    <t xml:space="preserve">Leitura: o Conservador (preço baixo + custo alto + marketplace pesado + baixa venda) destrói capital. A disciplina — preço ≥ R$ 119, venda direta, controle de custo (Tier B) e pré-venda p/ garantir sell-through — é o que torna o R$ 5.000 viável.</t>
  </si>
  <si>
    <t xml:space="preserve">PROJEÇÃO 12 MESES (ilustrativa — edite as unidades e o marketing)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</si>
  <si>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</si>
  <si>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</si>
  <si>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</si>
  <si>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</si>
  <si>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</si>
  <si>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</si>
  <si>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</si>
  <si>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</si>
  <si>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</si>
  <si>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</si>
  <si>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</si>
  <si>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</si>
  <si>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</si>
  <si>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Margem de contribuição (R$)</t>
  </si>
  <si>
    <t xml:space="preserve">(−) DAS MEI (R$)</t>
  </si>
  <si>
    <t xml:space="preserve">(=) Resultado do mês (R$)</t>
  </si>
  <si>
    <t xml:space="preserve">Resultado acumulado (R$)</t>
  </si>
  <si>
    <t xml:space="preserve">Convenção: o caixa de partida é o investimento de R$ 5.000. R$ 3.000 viram estoque (recuperado via margem conforme as vendas) e os R$ 2.000 de teste entram no Mês 1. Payback = mês em que o "Resultado acumulado" cruza zero. Assume reposição make-to-demand. Valores ILUSTRATIVOS — ajuste as unidades e o marketing.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</si>
</sst>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&quot;(R$ &quot;#,##0\);\-"/>
    <numFmt numFmtId="166" formatCode="&quot;R$ &quot;#,##0.00;&quot;(R$ &quot;#,##0.00\);\-"/>
    <numFmt numFmtId="167" formatCode="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0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1" customFormat="false" ht="15" hidden="false" customHeight="true" outlineLevel="0" collapsed="false">
      <c r="B1" s="2"/>
    </row>
    <row r="2" customFormat="false" ht="15.75" hidden="false" customHeight="true" outlineLevel="0" collapsed="false">
      <c r="B2" s="3" t="s">
        <v>0</v>
      </c>
    </row>
    <row r="3" customFormat="false" ht="15" hidden="false" customHeight="true" outlineLevel="0" collapsed="false">
      <c r="B3" s="2" t="s">
        <v>1</v>
      </c>
    </row>
    <row r="4" customFormat="false" ht="15" hidden="false" customHeight="true" outlineLevel="0" collapsed="false">
      <c r="B4" s="2" t="s">
        <v>2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4" t="s">
        <v>3</v>
      </c>
    </row>
    <row r="7" customFormat="false" ht="15" hidden="false" customHeight="true" outlineLevel="0" collapsed="false">
      <c r="B7" s="2" t="s">
        <v>4</v>
      </c>
    </row>
    <row r="8" customFormat="false" ht="15" hidden="false" customHeight="true" outlineLevel="0" collapsed="false">
      <c r="B8" s="2" t="s">
        <v>5</v>
      </c>
    </row>
    <row r="9" customFormat="false" ht="15" hidden="false" customHeight="true" outlineLevel="0" collapsed="false">
      <c r="B9" s="2" t="s">
        <v>6</v>
      </c>
    </row>
    <row r="10" customFormat="false" ht="15" hidden="false" customHeight="true" outlineLevel="0" collapsed="false">
      <c r="B10" s="2" t="s">
        <v>7</v>
      </c>
    </row>
    <row r="11" customFormat="false" ht="15" hidden="false" customHeight="true" outlineLevel="0" collapsed="false">
      <c r="B11" s="2" t="s">
        <v>8</v>
      </c>
    </row>
    <row r="12" customFormat="false" ht="15" hidden="false" customHeight="true" outlineLevel="0" collapsed="false">
      <c r="B12" s="2"/>
    </row>
    <row r="13" customFormat="false" ht="15" hidden="false" customHeight="true" outlineLevel="0" collapsed="false">
      <c r="B13" s="4" t="s">
        <v>9</v>
      </c>
    </row>
    <row r="14" customFormat="false" ht="15" hidden="false" customHeight="true" outlineLevel="0" collapsed="false">
      <c r="B14" s="2" t="s">
        <v>10</v>
      </c>
    </row>
    <row r="15" customFormat="false" ht="15" hidden="false" customHeight="true" outlineLevel="0" collapsed="false">
      <c r="B15" s="2"/>
    </row>
    <row r="16" customFormat="false" ht="1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2" t="s">
        <v>12</v>
      </c>
    </row>
    <row r="18" customFormat="false" ht="15" hidden="false" customHeight="true" outlineLevel="0" collapsed="false">
      <c r="B18" s="2" t="s">
        <v>13</v>
      </c>
    </row>
    <row r="19" customFormat="false" ht="15" hidden="false" customHeight="true" outlineLevel="0" collapsed="false">
      <c r="B19" s="2" t="s">
        <v>14</v>
      </c>
    </row>
    <row r="20" customFormat="false" ht="15" hidden="false" customHeight="true" outlineLevel="0" collapsed="false">
      <c r="B20" s="2" t="s">
        <v>15</v>
      </c>
    </row>
    <row r="21" customFormat="false" ht="15" hidden="false" customHeight="true" outlineLevel="0" collapsed="false">
      <c r="B21" s="2" t="s">
        <v>16</v>
      </c>
    </row>
    <row r="22" customFormat="false" ht="15" hidden="false" customHeight="true" outlineLevel="0" collapsed="false">
      <c r="B22" s="2"/>
    </row>
    <row r="23" customFormat="false" ht="15" hidden="false" customHeight="true" outlineLevel="0" collapsed="false">
      <c r="B23" s="4" t="s">
        <v>17</v>
      </c>
    </row>
    <row r="24" customFormat="false" ht="15" hidden="false" customHeight="true" outlineLevel="0" collapsed="false">
      <c r="B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5" hidden="false" customHeight="true" outlineLevel="0" collapsed="false">
      <c r="A1" s="5" t="s">
        <v>19</v>
      </c>
      <c r="B1" s="6"/>
      <c r="C1" s="6"/>
    </row>
    <row r="2" customFormat="false" ht="15" hidden="false" customHeight="true" outlineLevel="0" collapsed="false">
      <c r="A2" s="7" t="s">
        <v>20</v>
      </c>
    </row>
    <row r="3" customFormat="false" ht="15" hidden="false" customHeight="true" outlineLevel="0" collapsed="false">
      <c r="A3" s="2" t="s">
        <v>21</v>
      </c>
      <c r="B3" s="8" t="n">
        <v>3000</v>
      </c>
    </row>
    <row r="4" customFormat="false" ht="15" hidden="false" customHeight="true" outlineLevel="0" collapsed="false">
      <c r="A4" s="2" t="s">
        <v>22</v>
      </c>
      <c r="B4" s="8" t="n">
        <v>2000</v>
      </c>
    </row>
    <row r="5" customFormat="false" ht="15" hidden="false" customHeight="true" outlineLevel="0" collapsed="false">
      <c r="A5" s="2" t="s">
        <v>23</v>
      </c>
      <c r="B5" s="9" t="n">
        <f aca="false">B3+B4</f>
        <v>5000</v>
      </c>
    </row>
    <row r="6" customFormat="false" ht="15" hidden="false" customHeight="true" outlineLevel="0" collapsed="false">
      <c r="A6" s="7" t="s">
        <v>24</v>
      </c>
    </row>
    <row r="7" customFormat="false" ht="15" hidden="false" customHeight="true" outlineLevel="0" collapsed="false">
      <c r="A7" s="2" t="s">
        <v>25</v>
      </c>
      <c r="B7" s="10" t="n">
        <v>119</v>
      </c>
      <c r="C7" s="11" t="s">
        <v>26</v>
      </c>
    </row>
    <row r="8" customFormat="false" ht="15" hidden="false" customHeight="true" outlineLevel="0" collapsed="false">
      <c r="A8" s="2" t="s">
        <v>27</v>
      </c>
      <c r="B8" s="10" t="n">
        <v>45</v>
      </c>
      <c r="C8" s="11" t="s">
        <v>28</v>
      </c>
    </row>
    <row r="9" customFormat="false" ht="15" hidden="false" customHeight="true" outlineLevel="0" collapsed="false">
      <c r="A9" s="2" t="s">
        <v>29</v>
      </c>
      <c r="B9" s="12" t="n">
        <f aca="false">ROUNDDOWN(B3/B8,0)</f>
        <v>66</v>
      </c>
    </row>
    <row r="10" customFormat="false" ht="15" hidden="false" customHeight="true" outlineLevel="0" collapsed="false">
      <c r="A10" s="7" t="s">
        <v>30</v>
      </c>
    </row>
    <row r="11" customFormat="false" ht="15" hidden="false" customHeight="true" outlineLevel="0" collapsed="false">
      <c r="A11" s="2" t="s">
        <v>31</v>
      </c>
      <c r="B11" s="13" t="n">
        <v>0.9</v>
      </c>
      <c r="C11" s="11" t="s">
        <v>32</v>
      </c>
    </row>
    <row r="12" customFormat="false" ht="15" hidden="false" customHeight="true" outlineLevel="0" collapsed="false">
      <c r="A12" s="2" t="s">
        <v>33</v>
      </c>
      <c r="B12" s="14" t="n">
        <f aca="false">1-B11</f>
        <v>0.1</v>
      </c>
    </row>
    <row r="13" customFormat="false" ht="15" hidden="false" customHeight="true" outlineLevel="0" collapsed="false">
      <c r="A13" s="2" t="s">
        <v>34</v>
      </c>
      <c r="B13" s="13" t="n">
        <v>0.165</v>
      </c>
      <c r="C13" s="11" t="s">
        <v>35</v>
      </c>
    </row>
    <row r="14" customFormat="false" ht="15" hidden="false" customHeight="true" outlineLevel="0" collapsed="false">
      <c r="A14" s="2" t="s">
        <v>36</v>
      </c>
      <c r="B14" s="10" t="n">
        <v>20</v>
      </c>
      <c r="C14" s="11" t="s">
        <v>37</v>
      </c>
    </row>
    <row r="15" customFormat="false" ht="15" hidden="false" customHeight="true" outlineLevel="0" collapsed="false">
      <c r="A15" s="2" t="s">
        <v>38</v>
      </c>
      <c r="B15" s="10" t="n">
        <v>18</v>
      </c>
      <c r="C15" s="11" t="s">
        <v>39</v>
      </c>
    </row>
    <row r="16" customFormat="false" ht="15" hidden="false" customHeight="true" outlineLevel="0" collapsed="false">
      <c r="A16" s="2" t="s">
        <v>40</v>
      </c>
      <c r="B16" s="13" t="n">
        <v>0.025</v>
      </c>
      <c r="C16" s="11" t="s">
        <v>41</v>
      </c>
    </row>
    <row r="17" customFormat="false" ht="15" hidden="false" customHeight="true" outlineLevel="0" collapsed="false">
      <c r="A17" s="2" t="s">
        <v>42</v>
      </c>
      <c r="B17" s="10" t="n">
        <v>0</v>
      </c>
      <c r="C17" s="11" t="s">
        <v>43</v>
      </c>
    </row>
    <row r="18" customFormat="false" ht="15" hidden="false" customHeight="true" outlineLevel="0" collapsed="false">
      <c r="A18" s="7" t="s">
        <v>44</v>
      </c>
    </row>
    <row r="19" customFormat="false" ht="15" hidden="false" customHeight="true" outlineLevel="0" collapsed="false">
      <c r="A19" s="2" t="s">
        <v>45</v>
      </c>
      <c r="B19" s="10" t="n">
        <v>4</v>
      </c>
    </row>
    <row r="20" customFormat="false" ht="15" hidden="false" customHeight="true" outlineLevel="0" collapsed="false">
      <c r="A20" s="2" t="s">
        <v>46</v>
      </c>
      <c r="B20" s="13" t="n">
        <v>0.04</v>
      </c>
    </row>
    <row r="21" customFormat="false" ht="15" hidden="false" customHeight="true" outlineLevel="0" collapsed="false">
      <c r="A21" s="2" t="s">
        <v>47</v>
      </c>
      <c r="B21" s="15" t="n">
        <v>80</v>
      </c>
      <c r="C21" s="11" t="s">
        <v>48</v>
      </c>
    </row>
    <row r="22" customFormat="false" ht="15" hidden="false" customHeight="true" outlineLevel="0" collapsed="false">
      <c r="A22" s="2" t="s">
        <v>49</v>
      </c>
      <c r="B22" s="16" t="n">
        <v>3</v>
      </c>
    </row>
    <row r="23" customFormat="false" ht="15" hidden="false" customHeight="true" outlineLevel="0" collapsed="false">
      <c r="A23" s="7" t="s">
        <v>50</v>
      </c>
    </row>
    <row r="24" customFormat="false" ht="15" hidden="false" customHeight="true" outlineLevel="0" collapsed="false">
      <c r="A24" s="2" t="s">
        <v>51</v>
      </c>
      <c r="B24" s="10" t="n">
        <v>45</v>
      </c>
      <c r="C24" s="11" t="s">
        <v>52</v>
      </c>
    </row>
    <row r="25" customFormat="false" ht="15" hidden="false" customHeight="true" outlineLevel="0" collapsed="false">
      <c r="A25" s="2" t="s">
        <v>53</v>
      </c>
      <c r="B25" s="8" t="n">
        <v>1200</v>
      </c>
      <c r="C25" s="11" t="s">
        <v>54</v>
      </c>
    </row>
    <row r="26" customFormat="false" ht="15" hidden="false" customHeight="true" outlineLevel="0" collapsed="false">
      <c r="A26" s="2" t="s">
        <v>55</v>
      </c>
      <c r="B26" s="12" t="n">
        <f aca="false">ROUNDDOWN(B25/B24,0)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6"/>
  </cols>
  <sheetData>
    <row r="1" customFormat="false" ht="15" hidden="false" customHeight="true" outlineLevel="0" collapsed="false">
      <c r="A1" s="5" t="s">
        <v>56</v>
      </c>
      <c r="B1" s="6"/>
      <c r="C1" s="6"/>
      <c r="D1" s="6"/>
    </row>
    <row r="2" customFormat="false" ht="15" hidden="false" customHeight="true" outlineLevel="0" collapsed="false">
      <c r="B2" s="17" t="s">
        <v>57</v>
      </c>
      <c r="C2" s="17" t="s">
        <v>58</v>
      </c>
      <c r="D2" s="17" t="s">
        <v>59</v>
      </c>
    </row>
    <row r="3" customFormat="false" ht="15" hidden="false" customHeight="true" outlineLevel="0" collapsed="false">
      <c r="A3" s="2" t="s">
        <v>60</v>
      </c>
      <c r="B3" s="18" t="n">
        <f aca="false">Premissas!$B$7</f>
        <v>119</v>
      </c>
      <c r="C3" s="18" t="n">
        <f aca="false">Premissas!$B$7</f>
        <v>119</v>
      </c>
      <c r="D3" s="19" t="n">
        <f aca="false">B3*Premissas!$B$11+C3*Premissas!$B$12</f>
        <v>119</v>
      </c>
    </row>
    <row r="4" customFormat="false" ht="15" hidden="false" customHeight="true" outlineLevel="0" collapsed="false">
      <c r="A4" s="2" t="s">
        <v>61</v>
      </c>
      <c r="B4" s="19" t="n">
        <f aca="false">0</f>
        <v>0</v>
      </c>
      <c r="C4" s="19" t="n">
        <f aca="false">C3*Premissas!$B$13</f>
        <v>19.635</v>
      </c>
      <c r="D4" s="19" t="n">
        <f aca="false">B4*Premissas!$B$11+C4*Premissas!$B$12</f>
        <v>1.9635</v>
      </c>
    </row>
    <row r="5" customFormat="false" ht="15" hidden="false" customHeight="true" outlineLevel="0" collapsed="false">
      <c r="A5" s="2" t="s">
        <v>62</v>
      </c>
      <c r="B5" s="19" t="n">
        <f aca="false">0</f>
        <v>0</v>
      </c>
      <c r="C5" s="19" t="n">
        <f aca="false">Premissas!$B$14</f>
        <v>20</v>
      </c>
      <c r="D5" s="19" t="n">
        <f aca="false">B5*Premissas!$B$11+C5*Premissas!$B$12</f>
        <v>2</v>
      </c>
    </row>
    <row r="6" customFormat="false" ht="15" hidden="false" customHeight="true" outlineLevel="0" collapsed="false">
      <c r="A6" s="2" t="s">
        <v>63</v>
      </c>
      <c r="B6" s="19" t="n">
        <f aca="false">Premissas!$B$17</f>
        <v>0</v>
      </c>
      <c r="C6" s="19" t="n">
        <f aca="false">Premissas!$B$15</f>
        <v>18</v>
      </c>
      <c r="D6" s="19" t="n">
        <f aca="false">B6*Premissas!$B$11+C6*Premissas!$B$12</f>
        <v>1.8</v>
      </c>
    </row>
    <row r="7" customFormat="false" ht="15" hidden="false" customHeight="true" outlineLevel="0" collapsed="false">
      <c r="A7" s="2" t="s">
        <v>64</v>
      </c>
      <c r="B7" s="19" t="n">
        <f aca="false">B3*Premissas!$B$16</f>
        <v>2.975</v>
      </c>
      <c r="C7" s="19" t="n">
        <f aca="false">0</f>
        <v>0</v>
      </c>
      <c r="D7" s="19" t="n">
        <f aca="false">B7*Premissas!$B$11+C7*Premissas!$B$12</f>
        <v>2.6775</v>
      </c>
    </row>
    <row r="8" customFormat="false" ht="15" hidden="false" customHeight="true" outlineLevel="0" collapsed="false">
      <c r="A8" s="2" t="s">
        <v>65</v>
      </c>
      <c r="B8" s="19" t="n">
        <f aca="false">Premissas!$B$19</f>
        <v>4</v>
      </c>
      <c r="C8" s="19" t="n">
        <f aca="false">Premissas!$B$19</f>
        <v>4</v>
      </c>
      <c r="D8" s="19" t="n">
        <f aca="false">B8*Premissas!$B$11+C8*Premissas!$B$12</f>
        <v>4</v>
      </c>
    </row>
    <row r="9" customFormat="false" ht="15" hidden="false" customHeight="true" outlineLevel="0" collapsed="false">
      <c r="A9" s="2" t="s">
        <v>66</v>
      </c>
      <c r="B9" s="19" t="n">
        <f aca="false">B3*Premissas!$B$20</f>
        <v>4.76</v>
      </c>
      <c r="C9" s="19" t="n">
        <f aca="false">C3*Premissas!$B$20</f>
        <v>4.76</v>
      </c>
      <c r="D9" s="19" t="n">
        <f aca="false">B9*Premissas!$B$11+C9*Premissas!$B$12</f>
        <v>4.76</v>
      </c>
    </row>
    <row r="10" customFormat="false" ht="15" hidden="false" customHeight="true" outlineLevel="0" collapsed="false">
      <c r="A10" s="4" t="s">
        <v>67</v>
      </c>
      <c r="B10" s="20" t="n">
        <f aca="false">B3-SUM(B4:B9)</f>
        <v>107.265</v>
      </c>
      <c r="C10" s="20" t="n">
        <f aca="false">C3-SUM(C4:C9)</f>
        <v>52.605</v>
      </c>
      <c r="D10" s="20" t="n">
        <f aca="false">B10*Premissas!$B$11+C10*Premissas!$B$12</f>
        <v>101.799</v>
      </c>
    </row>
    <row r="11" customFormat="false" ht="15" hidden="false" customHeight="true" outlineLevel="0" collapsed="false">
      <c r="A11" s="2" t="s">
        <v>68</v>
      </c>
      <c r="B11" s="19" t="n">
        <f aca="false">Premissas!$B$8</f>
        <v>45</v>
      </c>
      <c r="C11" s="19" t="n">
        <f aca="false">Premissas!$B$8</f>
        <v>45</v>
      </c>
      <c r="D11" s="19" t="n">
        <f aca="false">B11*Premissas!$B$11+C11*Premissas!$B$12</f>
        <v>45</v>
      </c>
    </row>
    <row r="12" customFormat="false" ht="15" hidden="false" customHeight="true" outlineLevel="0" collapsed="false">
      <c r="A12" s="4" t="s">
        <v>69</v>
      </c>
      <c r="B12" s="20" t="n">
        <f aca="false">B10-B11</f>
        <v>62.265</v>
      </c>
      <c r="C12" s="20" t="n">
        <f aca="false">C10-C11</f>
        <v>7.60499999999999</v>
      </c>
      <c r="D12" s="20" t="n">
        <f aca="false">B12*Premissas!$B$11+C12*Premissas!$B$12</f>
        <v>56.799</v>
      </c>
    </row>
    <row r="13" customFormat="false" ht="15" hidden="false" customHeight="true" outlineLevel="0" collapsed="false">
      <c r="A13" s="2" t="s">
        <v>70</v>
      </c>
      <c r="B13" s="14" t="n">
        <f aca="false">B12/B3</f>
        <v>0.523235294117647</v>
      </c>
      <c r="C13" s="14" t="n">
        <f aca="false">C12/C3</f>
        <v>0.06390756302521</v>
      </c>
      <c r="D13" s="14" t="n">
        <f aca="false">D12/D3</f>
        <v>0.477302521008403</v>
      </c>
    </row>
    <row r="15" customFormat="false" ht="15" hidden="false" customHeight="true" outlineLevel="0" collapsed="false">
      <c r="A15" s="1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8"/>
  </cols>
  <sheetData>
    <row r="1" customFormat="false" ht="15" hidden="false" customHeight="true" outlineLevel="0" collapsed="false">
      <c r="A1" s="5" t="s">
        <v>72</v>
      </c>
      <c r="B1" s="6"/>
    </row>
    <row r="3" customFormat="false" ht="15" hidden="false" customHeight="true" outlineLevel="0" collapsed="false">
      <c r="A3" s="2" t="s">
        <v>23</v>
      </c>
      <c r="B3" s="21" t="n">
        <f aca="false">Premissas!B5</f>
        <v>5000</v>
      </c>
    </row>
    <row r="4" customFormat="false" ht="15" hidden="false" customHeight="true" outlineLevel="0" collapsed="false">
      <c r="A4" s="2" t="s">
        <v>73</v>
      </c>
      <c r="B4" s="21" t="n">
        <f aca="false">Premissas!B3</f>
        <v>3000</v>
      </c>
    </row>
    <row r="5" customFormat="false" ht="15" hidden="false" customHeight="true" outlineLevel="0" collapsed="false">
      <c r="A5" s="2" t="s">
        <v>74</v>
      </c>
      <c r="B5" s="21" t="n">
        <f aca="false">Premissas!B4</f>
        <v>2000</v>
      </c>
    </row>
    <row r="6" customFormat="false" ht="15" hidden="false" customHeight="true" outlineLevel="0" collapsed="false">
      <c r="A6" s="2" t="s">
        <v>29</v>
      </c>
      <c r="B6" s="22" t="n">
        <f aca="false">Premissas!B9</f>
        <v>66</v>
      </c>
    </row>
    <row r="7" customFormat="false" ht="15" hidden="false" customHeight="true" outlineLevel="0" collapsed="false">
      <c r="A7" s="2" t="s">
        <v>75</v>
      </c>
      <c r="B7" s="18" t="n">
        <f aca="false">Premissas!B7</f>
        <v>119</v>
      </c>
    </row>
    <row r="8" customFormat="false" ht="15" hidden="false" customHeight="true" outlineLevel="0" collapsed="false">
      <c r="A8" s="2" t="s">
        <v>76</v>
      </c>
      <c r="B8" s="18" t="n">
        <f aca="false">'Unit Economics'!D10</f>
        <v>101.799</v>
      </c>
    </row>
    <row r="9" customFormat="false" ht="15" hidden="false" customHeight="true" outlineLevel="0" collapsed="false">
      <c r="A9" s="2" t="s">
        <v>77</v>
      </c>
      <c r="B9" s="18" t="n">
        <f aca="false">'Unit Economics'!D12</f>
        <v>56.799</v>
      </c>
    </row>
    <row r="11" customFormat="false" ht="15" hidden="false" customHeight="true" outlineLevel="0" collapsed="false">
      <c r="A11" s="7" t="s">
        <v>78</v>
      </c>
      <c r="B11" s="23"/>
    </row>
    <row r="12" customFormat="false" ht="15" hidden="false" customHeight="true" outlineLevel="0" collapsed="false">
      <c r="A12" s="4" t="s">
        <v>79</v>
      </c>
      <c r="B12" s="24" t="n">
        <f aca="false">ROUNDUP(B3/B8,0)</f>
        <v>50</v>
      </c>
    </row>
    <row r="13" customFormat="false" ht="15" hidden="false" customHeight="true" outlineLevel="0" collapsed="false">
      <c r="A13" s="4" t="s">
        <v>80</v>
      </c>
      <c r="B13" s="25" t="n">
        <f aca="false">B12/B6</f>
        <v>0.757575757575758</v>
      </c>
    </row>
    <row r="15" customFormat="false" ht="15" hidden="false" customHeight="true" outlineLevel="0" collapsed="false">
      <c r="A15" s="7" t="s">
        <v>81</v>
      </c>
      <c r="B15" s="23"/>
    </row>
    <row r="16" customFormat="false" ht="15" hidden="false" customHeight="true" outlineLevel="0" collapsed="false">
      <c r="A16" s="2" t="s">
        <v>82</v>
      </c>
      <c r="B16" s="9" t="n">
        <f aca="false">B6*B7</f>
        <v>7854</v>
      </c>
    </row>
    <row r="17" customFormat="false" ht="15" hidden="false" customHeight="true" outlineLevel="0" collapsed="false">
      <c r="A17" s="2" t="s">
        <v>83</v>
      </c>
      <c r="B17" s="9" t="n">
        <f aca="false">B6*(B7-B8)</f>
        <v>1135.266</v>
      </c>
    </row>
    <row r="18" customFormat="false" ht="15" hidden="false" customHeight="true" outlineLevel="0" collapsed="false">
      <c r="A18" s="2" t="s">
        <v>84</v>
      </c>
      <c r="B18" s="9" t="n">
        <f aca="false">B6*Premissas!$B$8</f>
        <v>2970</v>
      </c>
    </row>
    <row r="19" customFormat="false" ht="15" hidden="false" customHeight="true" outlineLevel="0" collapsed="false">
      <c r="A19" s="2" t="s">
        <v>85</v>
      </c>
      <c r="B19" s="9" t="n">
        <f aca="false">B5</f>
        <v>2000</v>
      </c>
    </row>
    <row r="20" customFormat="false" ht="15" hidden="false" customHeight="true" outlineLevel="0" collapsed="false">
      <c r="A20" s="2" t="s">
        <v>86</v>
      </c>
      <c r="B20" s="9" t="n">
        <f aca="false">Premissas!$B$21*Premissas!$B$22</f>
        <v>240</v>
      </c>
    </row>
    <row r="21" customFormat="false" ht="15" hidden="false" customHeight="true" outlineLevel="0" collapsed="false">
      <c r="A21" s="4" t="s">
        <v>87</v>
      </c>
      <c r="B21" s="26" t="n">
        <f aca="false">B16-B17-B18-B19-B20</f>
        <v>1508.734</v>
      </c>
    </row>
    <row r="22" customFormat="false" ht="15" hidden="false" customHeight="true" outlineLevel="0" collapsed="false">
      <c r="A22" s="4" t="s">
        <v>88</v>
      </c>
      <c r="B22" s="27" t="n">
        <f aca="false">B21/B3</f>
        <v>0.3017468</v>
      </c>
    </row>
    <row r="23" customFormat="false" ht="15" hidden="false" customHeight="true" outlineLevel="0" collapsed="false">
      <c r="A23" s="2" t="s">
        <v>89</v>
      </c>
      <c r="B23" s="19" t="n">
        <f aca="false">B21/B6</f>
        <v>22.8596060606061</v>
      </c>
    </row>
    <row r="25" customFormat="false" ht="15" hidden="false" customHeight="true" outlineLevel="0" collapsed="false">
      <c r="A25" s="11" t="s">
        <v>90</v>
      </c>
    </row>
    <row r="26" customFormat="false" ht="15" hidden="false" customHeight="true" outlineLevel="0" collapsed="false">
      <c r="A26" s="11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6"/>
  </cols>
  <sheetData>
    <row r="1" customFormat="false" ht="15" hidden="false" customHeight="true" outlineLevel="0" collapsed="false">
      <c r="A1" s="5" t="s">
        <v>92</v>
      </c>
      <c r="B1" s="6"/>
      <c r="C1" s="6"/>
      <c r="D1" s="6"/>
    </row>
    <row r="2" customFormat="false" ht="15" hidden="false" customHeight="true" outlineLevel="0" collapsed="false">
      <c r="B2" s="17" t="s">
        <v>93</v>
      </c>
      <c r="C2" s="17" t="s">
        <v>94</v>
      </c>
      <c r="D2" s="17" t="s">
        <v>95</v>
      </c>
    </row>
    <row r="3" customFormat="false" ht="15" hidden="false" customHeight="true" outlineLevel="0" collapsed="false">
      <c r="A3" s="7" t="s">
        <v>96</v>
      </c>
      <c r="B3" s="23"/>
      <c r="C3" s="23"/>
      <c r="D3" s="23"/>
    </row>
    <row r="4" customFormat="false" ht="15" hidden="false" customHeight="true" outlineLevel="0" collapsed="false">
      <c r="A4" s="2" t="s">
        <v>75</v>
      </c>
      <c r="B4" s="10" t="n">
        <v>99</v>
      </c>
      <c r="C4" s="10" t="n">
        <v>119</v>
      </c>
      <c r="D4" s="10" t="n">
        <v>129</v>
      </c>
    </row>
    <row r="5" customFormat="false" ht="15" hidden="false" customHeight="true" outlineLevel="0" collapsed="false">
      <c r="A5" s="2" t="s">
        <v>97</v>
      </c>
      <c r="B5" s="10" t="n">
        <v>52</v>
      </c>
      <c r="C5" s="10" t="n">
        <v>45</v>
      </c>
      <c r="D5" s="10" t="n">
        <v>40</v>
      </c>
    </row>
    <row r="6" customFormat="false" ht="15" hidden="false" customHeight="true" outlineLevel="0" collapsed="false">
      <c r="A6" s="2" t="s">
        <v>98</v>
      </c>
      <c r="B6" s="13" t="n">
        <v>0.6</v>
      </c>
      <c r="C6" s="13" t="n">
        <v>0.9</v>
      </c>
      <c r="D6" s="13" t="n">
        <v>1</v>
      </c>
    </row>
    <row r="7" customFormat="false" ht="15" hidden="false" customHeight="true" outlineLevel="0" collapsed="false">
      <c r="A7" s="2" t="s">
        <v>99</v>
      </c>
      <c r="B7" s="13" t="n">
        <v>0.65</v>
      </c>
      <c r="C7" s="13" t="n">
        <v>0.85</v>
      </c>
      <c r="D7" s="13" t="n">
        <v>1</v>
      </c>
    </row>
    <row r="8" customFormat="false" ht="15" hidden="false" customHeight="true" outlineLevel="0" collapsed="false">
      <c r="A8" s="2" t="s">
        <v>100</v>
      </c>
      <c r="B8" s="21" t="n">
        <f aca="false">Premissas!$B$3</f>
        <v>3000</v>
      </c>
      <c r="C8" s="21" t="n">
        <f aca="false">Premissas!$B$3</f>
        <v>3000</v>
      </c>
      <c r="D8" s="21" t="n">
        <f aca="false">Premissas!$B$3</f>
        <v>3000</v>
      </c>
    </row>
    <row r="9" customFormat="false" ht="15" hidden="false" customHeight="true" outlineLevel="0" collapsed="false">
      <c r="A9" s="2" t="s">
        <v>101</v>
      </c>
      <c r="B9" s="21" t="n">
        <f aca="false">Premissas!$B$4</f>
        <v>2000</v>
      </c>
      <c r="C9" s="21" t="n">
        <f aca="false">Premissas!$B$4</f>
        <v>2000</v>
      </c>
      <c r="D9" s="21" t="n">
        <f aca="false">Premissas!$B$4</f>
        <v>2000</v>
      </c>
    </row>
    <row r="10" customFormat="false" ht="15" hidden="false" customHeight="true" outlineLevel="0" collapsed="false">
      <c r="A10" s="7" t="s">
        <v>102</v>
      </c>
      <c r="B10" s="23"/>
      <c r="C10" s="23"/>
      <c r="D10" s="23"/>
    </row>
    <row r="11" customFormat="false" ht="15" hidden="false" customHeight="true" outlineLevel="0" collapsed="false">
      <c r="A11" s="2" t="s">
        <v>103</v>
      </c>
      <c r="B11" s="12" t="n">
        <f aca="false">ROUNDDOWN(B8/B5,0)</f>
        <v>57</v>
      </c>
      <c r="C11" s="12" t="n">
        <f aca="false">ROUNDDOWN(C8/C5,0)</f>
        <v>66</v>
      </c>
      <c r="D11" s="12" t="n">
        <f aca="false">ROUNDDOWN(D8/D5,0)</f>
        <v>75</v>
      </c>
    </row>
    <row r="12" customFormat="false" ht="15" hidden="false" customHeight="true" outlineLevel="0" collapsed="false">
      <c r="A12" s="2" t="s">
        <v>104</v>
      </c>
      <c r="B12" s="12" t="n">
        <f aca="false">ROUNDDOWN(B11*B7,0)</f>
        <v>37</v>
      </c>
      <c r="C12" s="12" t="n">
        <f aca="false">ROUNDDOWN(C11*C7,0)</f>
        <v>56</v>
      </c>
      <c r="D12" s="12" t="n">
        <f aca="false">ROUNDDOWN(D11*D7,0)</f>
        <v>75</v>
      </c>
    </row>
    <row r="13" customFormat="false" ht="15" hidden="false" customHeight="true" outlineLevel="0" collapsed="false">
      <c r="A13" s="2" t="s">
        <v>105</v>
      </c>
      <c r="B13" s="19" t="n">
        <f aca="false">B4-(B4*Premissas!$B$16+Premissas!$B$19+B4*Premissas!$B$20)</f>
        <v>88.565</v>
      </c>
      <c r="C13" s="19" t="n">
        <f aca="false">C4-(C4*Premissas!$B$16+Premissas!$B$19+C4*Premissas!$B$20)</f>
        <v>107.265</v>
      </c>
      <c r="D13" s="19" t="n">
        <f aca="false">D4-(D4*Premissas!$B$16+Premissas!$B$19+D4*Premissas!$B$20)</f>
        <v>116.615</v>
      </c>
    </row>
    <row r="14" customFormat="false" ht="15" hidden="false" customHeight="true" outlineLevel="0" collapsed="false">
      <c r="A14" s="2" t="s">
        <v>106</v>
      </c>
      <c r="B14" s="19" t="n">
        <f aca="false">B4-(B4*Premissas!$B$13+Premissas!$B$14+Premissas!$B$15+Premissas!$B$19+B4*Premissas!$B$20)</f>
        <v>36.705</v>
      </c>
      <c r="C14" s="19" t="n">
        <f aca="false">C4-(C4*Premissas!$B$13+Premissas!$B$14+Premissas!$B$15+Premissas!$B$19+C4*Premissas!$B$20)</f>
        <v>52.605</v>
      </c>
      <c r="D14" s="19" t="n">
        <f aca="false">D4-(D4*Premissas!$B$13+Premissas!$B$14+Premissas!$B$15+Premissas!$B$19+D4*Premissas!$B$20)</f>
        <v>60.555</v>
      </c>
    </row>
    <row r="15" customFormat="false" ht="15" hidden="false" customHeight="true" outlineLevel="0" collapsed="false">
      <c r="A15" s="2" t="s">
        <v>107</v>
      </c>
      <c r="B15" s="19" t="n">
        <f aca="false">B13*B6+B14*(1-B6)</f>
        <v>67.821</v>
      </c>
      <c r="C15" s="19" t="n">
        <f aca="false">C13*C6+C14*(1-C6)</f>
        <v>101.799</v>
      </c>
      <c r="D15" s="19" t="n">
        <f aca="false">D13*D6+D14*(1-D6)</f>
        <v>116.615</v>
      </c>
    </row>
    <row r="16" customFormat="false" ht="15" hidden="false" customHeight="true" outlineLevel="0" collapsed="false">
      <c r="A16" s="2" t="s">
        <v>108</v>
      </c>
      <c r="B16" s="19" t="n">
        <f aca="false">B15-B5</f>
        <v>15.821</v>
      </c>
      <c r="C16" s="19" t="n">
        <f aca="false">C15-C5</f>
        <v>56.799</v>
      </c>
      <c r="D16" s="19" t="n">
        <f aca="false">D15-D5</f>
        <v>76.615</v>
      </c>
    </row>
    <row r="17" customFormat="false" ht="15" hidden="false" customHeight="true" outlineLevel="0" collapsed="false">
      <c r="A17" s="2" t="s">
        <v>82</v>
      </c>
      <c r="B17" s="9" t="n">
        <f aca="false">B12*B4</f>
        <v>3663</v>
      </c>
      <c r="C17" s="9" t="n">
        <f aca="false">C12*C4</f>
        <v>6664</v>
      </c>
      <c r="D17" s="9" t="n">
        <f aca="false">D12*D4</f>
        <v>9675</v>
      </c>
    </row>
    <row r="18" customFormat="false" ht="15" hidden="false" customHeight="true" outlineLevel="0" collapsed="false">
      <c r="A18" s="2" t="s">
        <v>83</v>
      </c>
      <c r="B18" s="9" t="n">
        <f aca="false">B12*(B4-B15)</f>
        <v>1153.623</v>
      </c>
      <c r="C18" s="9" t="n">
        <f aca="false">C12*(C4-C15)</f>
        <v>963.256</v>
      </c>
      <c r="D18" s="9" t="n">
        <f aca="false">D12*(D4-D15)</f>
        <v>928.875</v>
      </c>
    </row>
    <row r="19" customFormat="false" ht="15" hidden="false" customHeight="true" outlineLevel="0" collapsed="false">
      <c r="A19" s="2" t="s">
        <v>109</v>
      </c>
      <c r="B19" s="9" t="n">
        <f aca="false">B12*B5</f>
        <v>1924</v>
      </c>
      <c r="C19" s="9" t="n">
        <f aca="false">C12*C5</f>
        <v>2520</v>
      </c>
      <c r="D19" s="9" t="n">
        <f aca="false">D12*D5</f>
        <v>3000</v>
      </c>
    </row>
    <row r="20" customFormat="false" ht="15" hidden="false" customHeight="true" outlineLevel="0" collapsed="false">
      <c r="A20" s="2" t="s">
        <v>110</v>
      </c>
      <c r="B20" s="9" t="n">
        <f aca="false">(B11-B12)*B5</f>
        <v>1040</v>
      </c>
      <c r="C20" s="9" t="n">
        <f aca="false">(C11-C12)*C5</f>
        <v>450</v>
      </c>
      <c r="D20" s="9" t="n">
        <f aca="false">(D11-D12)*D5</f>
        <v>0</v>
      </c>
    </row>
    <row r="21" customFormat="false" ht="15" hidden="false" customHeight="true" outlineLevel="0" collapsed="false">
      <c r="A21" s="2" t="s">
        <v>111</v>
      </c>
      <c r="B21" s="9" t="n">
        <f aca="false">B9</f>
        <v>2000</v>
      </c>
      <c r="C21" s="9" t="n">
        <f aca="false">C9</f>
        <v>2000</v>
      </c>
      <c r="D21" s="9" t="n">
        <f aca="false">D9</f>
        <v>2000</v>
      </c>
    </row>
    <row r="22" customFormat="false" ht="15" hidden="false" customHeight="true" outlineLevel="0" collapsed="false">
      <c r="A22" s="2" t="s">
        <v>86</v>
      </c>
      <c r="B22" s="9" t="n">
        <f aca="false">Premissas!$B$21*Premissas!$B$22</f>
        <v>240</v>
      </c>
      <c r="C22" s="9" t="n">
        <f aca="false">Premissas!$B$21*Premissas!$B$22</f>
        <v>240</v>
      </c>
      <c r="D22" s="9" t="n">
        <f aca="false">Premissas!$B$21*Premissas!$B$22</f>
        <v>240</v>
      </c>
    </row>
    <row r="23" customFormat="false" ht="15" hidden="false" customHeight="true" outlineLevel="0" collapsed="false">
      <c r="A23" s="4" t="s">
        <v>112</v>
      </c>
      <c r="B23" s="26" t="n">
        <f aca="false">B17-B18-B19-B20-B21-B22</f>
        <v>-2694.623</v>
      </c>
      <c r="C23" s="26" t="n">
        <f aca="false">C17-C18-C19-C20-C21-C22</f>
        <v>490.744</v>
      </c>
      <c r="D23" s="26" t="n">
        <f aca="false">D17-D18-D19-D20-D21-D22</f>
        <v>3506.125</v>
      </c>
    </row>
    <row r="24" customFormat="false" ht="15" hidden="false" customHeight="true" outlineLevel="0" collapsed="false">
      <c r="A24" s="4" t="s">
        <v>113</v>
      </c>
      <c r="B24" s="27" t="n">
        <f aca="false">B23/(B8+B9)</f>
        <v>-0.5389246</v>
      </c>
      <c r="C24" s="27" t="n">
        <f aca="false">C23/(C8+C9)</f>
        <v>0.0981487999999999</v>
      </c>
      <c r="D24" s="27" t="n">
        <f aca="false">D23/(D8+D9)</f>
        <v>0.701225</v>
      </c>
    </row>
    <row r="25" customFormat="false" ht="15" hidden="false" customHeight="true" outlineLevel="0" collapsed="false">
      <c r="A25" s="2" t="s">
        <v>114</v>
      </c>
      <c r="B25" s="19" t="n">
        <f aca="false">IF(B12=0,0,B23/B12)</f>
        <v>-72.8276486486487</v>
      </c>
      <c r="C25" s="19" t="n">
        <f aca="false">IF(C12=0,0,C23/C12)</f>
        <v>8.76328571428571</v>
      </c>
      <c r="D25" s="19" t="n">
        <f aca="false">IF(D12=0,0,D23/D12)</f>
        <v>46.7483333333333</v>
      </c>
    </row>
    <row r="27" customFormat="false" ht="15" hidden="false" customHeight="true" outlineLevel="0" collapsed="false">
      <c r="A27" s="1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9"/>
    <col collapsed="false" customWidth="true" hidden="false" outlineLevel="0" max="14" min="14" style="1" width="12"/>
  </cols>
  <sheetData>
    <row r="1" customFormat="false" ht="15" hidden="false" customHeight="true" outlineLevel="0" collapsed="false">
      <c r="A1" s="5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true" outlineLevel="0" collapsed="false">
      <c r="B2" s="17" t="s">
        <v>117</v>
      </c>
      <c r="C2" s="17" t="s">
        <v>118</v>
      </c>
      <c r="D2" s="17" t="s">
        <v>119</v>
      </c>
      <c r="E2" s="17" t="s">
        <v>120</v>
      </c>
      <c r="F2" s="17" t="s">
        <v>121</v>
      </c>
      <c r="G2" s="17" t="s">
        <v>122</v>
      </c>
      <c r="H2" s="17" t="s">
        <v>123</v>
      </c>
      <c r="I2" s="17" t="s">
        <v>124</v>
      </c>
      <c r="J2" s="17" t="s">
        <v>125</v>
      </c>
      <c r="K2" s="17" t="s">
        <v>126</v>
      </c>
      <c r="L2" s="17" t="s">
        <v>127</v>
      </c>
      <c r="M2" s="17" t="s">
        <v>128</v>
      </c>
      <c r="N2" s="17" t="s">
        <v>129</v>
      </c>
    </row>
    <row r="3" customFormat="false" ht="15" hidden="false" customHeight="true" outlineLevel="0" collapsed="false">
      <c r="A3" s="2" t="s">
        <v>104</v>
      </c>
      <c r="B3" s="16" t="n">
        <v>20</v>
      </c>
      <c r="C3" s="16" t="n">
        <v>24</v>
      </c>
      <c r="D3" s="16" t="n">
        <v>28</v>
      </c>
      <c r="E3" s="16" t="n">
        <v>32</v>
      </c>
      <c r="F3" s="16" t="n">
        <v>36</v>
      </c>
      <c r="G3" s="16" t="n">
        <v>40</v>
      </c>
      <c r="H3" s="16" t="n">
        <v>44</v>
      </c>
      <c r="I3" s="16" t="n">
        <v>48</v>
      </c>
      <c r="J3" s="16" t="n">
        <v>52</v>
      </c>
      <c r="K3" s="16" t="n">
        <v>56</v>
      </c>
      <c r="L3" s="16" t="n">
        <v>60</v>
      </c>
      <c r="M3" s="16" t="n">
        <v>64</v>
      </c>
      <c r="N3" s="24" t="n">
        <f aca="false">SUM(B3:M3)</f>
        <v>504</v>
      </c>
    </row>
    <row r="4" customFormat="false" ht="15" hidden="false" customHeight="true" outlineLevel="0" collapsed="false">
      <c r="A4" s="2" t="s">
        <v>82</v>
      </c>
      <c r="B4" s="9" t="n">
        <f aca="false">B3*Premissas!$B$7</f>
        <v>2380</v>
      </c>
      <c r="C4" s="9" t="n">
        <f aca="false">C3*Premissas!$B$7</f>
        <v>2856</v>
      </c>
      <c r="D4" s="9" t="n">
        <f aca="false">D3*Premissas!$B$7</f>
        <v>3332</v>
      </c>
      <c r="E4" s="9" t="n">
        <f aca="false">E3*Premissas!$B$7</f>
        <v>3808</v>
      </c>
      <c r="F4" s="9" t="n">
        <f aca="false">F3*Premissas!$B$7</f>
        <v>4284</v>
      </c>
      <c r="G4" s="9" t="n">
        <f aca="false">G3*Premissas!$B$7</f>
        <v>4760</v>
      </c>
      <c r="H4" s="9" t="n">
        <f aca="false">H3*Premissas!$B$7</f>
        <v>5236</v>
      </c>
      <c r="I4" s="9" t="n">
        <f aca="false">I3*Premissas!$B$7</f>
        <v>5712</v>
      </c>
      <c r="J4" s="9" t="n">
        <f aca="false">J3*Premissas!$B$7</f>
        <v>6188</v>
      </c>
      <c r="K4" s="9" t="n">
        <f aca="false">K3*Premissas!$B$7</f>
        <v>6664</v>
      </c>
      <c r="L4" s="9" t="n">
        <f aca="false">L3*Premissas!$B$7</f>
        <v>7140</v>
      </c>
      <c r="M4" s="9" t="n">
        <f aca="false">M3*Premissas!$B$7</f>
        <v>7616</v>
      </c>
      <c r="N4" s="28" t="n">
        <f aca="false">SUM(B4:M4)</f>
        <v>59976</v>
      </c>
    </row>
    <row r="5" customFormat="false" ht="15" hidden="false" customHeight="true" outlineLevel="0" collapsed="false">
      <c r="A5" s="2" t="s">
        <v>130</v>
      </c>
      <c r="B5" s="9" t="n">
        <f aca="false">B3*'Unit Economics'!$D$12</f>
        <v>1135.98</v>
      </c>
      <c r="C5" s="9" t="n">
        <f aca="false">C3*'Unit Economics'!$D$12</f>
        <v>1363.176</v>
      </c>
      <c r="D5" s="9" t="n">
        <f aca="false">D3*'Unit Economics'!$D$12</f>
        <v>1590.372</v>
      </c>
      <c r="E5" s="9" t="n">
        <f aca="false">E3*'Unit Economics'!$D$12</f>
        <v>1817.568</v>
      </c>
      <c r="F5" s="9" t="n">
        <f aca="false">F3*'Unit Economics'!$D$12</f>
        <v>2044.764</v>
      </c>
      <c r="G5" s="9" t="n">
        <f aca="false">G3*'Unit Economics'!$D$12</f>
        <v>2271.96</v>
      </c>
      <c r="H5" s="9" t="n">
        <f aca="false">H3*'Unit Economics'!$D$12</f>
        <v>2499.156</v>
      </c>
      <c r="I5" s="9" t="n">
        <f aca="false">I3*'Unit Economics'!$D$12</f>
        <v>2726.352</v>
      </c>
      <c r="J5" s="9" t="n">
        <f aca="false">J3*'Unit Economics'!$D$12</f>
        <v>2953.548</v>
      </c>
      <c r="K5" s="9" t="n">
        <f aca="false">K3*'Unit Economics'!$D$12</f>
        <v>3180.744</v>
      </c>
      <c r="L5" s="9" t="n">
        <f aca="false">L3*'Unit Economics'!$D$12</f>
        <v>3407.94</v>
      </c>
      <c r="M5" s="9" t="n">
        <f aca="false">M3*'Unit Economics'!$D$12</f>
        <v>3635.136</v>
      </c>
      <c r="N5" s="28" t="n">
        <f aca="false">SUM(B5:M5)</f>
        <v>28626.696</v>
      </c>
    </row>
    <row r="6" customFormat="false" ht="15" hidden="false" customHeight="true" outlineLevel="0" collapsed="false">
      <c r="A6" s="2" t="s">
        <v>111</v>
      </c>
      <c r="B6" s="8" t="n">
        <v>2000</v>
      </c>
      <c r="C6" s="8" t="n">
        <v>400</v>
      </c>
      <c r="D6" s="8" t="n">
        <v>400</v>
      </c>
      <c r="E6" s="8" t="n">
        <v>400</v>
      </c>
      <c r="F6" s="8" t="n">
        <v>500</v>
      </c>
      <c r="G6" s="8" t="n">
        <v>500</v>
      </c>
      <c r="H6" s="8" t="n">
        <v>500</v>
      </c>
      <c r="I6" s="8" t="n">
        <v>600</v>
      </c>
      <c r="J6" s="8" t="n">
        <v>600</v>
      </c>
      <c r="K6" s="8" t="n">
        <v>700</v>
      </c>
      <c r="L6" s="8" t="n">
        <v>700</v>
      </c>
      <c r="M6" s="8" t="n">
        <v>800</v>
      </c>
      <c r="N6" s="28" t="n">
        <f aca="false">SUM(B6:M6)</f>
        <v>8100</v>
      </c>
    </row>
    <row r="7" customFormat="false" ht="15" hidden="false" customHeight="true" outlineLevel="0" collapsed="false">
      <c r="A7" s="2" t="s">
        <v>131</v>
      </c>
      <c r="B7" s="9" t="n">
        <f aca="false">Premissas!$B$21</f>
        <v>80</v>
      </c>
      <c r="C7" s="9" t="n">
        <f aca="false">Premissas!$B$21</f>
        <v>80</v>
      </c>
      <c r="D7" s="9" t="n">
        <f aca="false">Premissas!$B$21</f>
        <v>80</v>
      </c>
      <c r="E7" s="9" t="n">
        <f aca="false">Premissas!$B$21</f>
        <v>80</v>
      </c>
      <c r="F7" s="9" t="n">
        <f aca="false">Premissas!$B$21</f>
        <v>80</v>
      </c>
      <c r="G7" s="9" t="n">
        <f aca="false">Premissas!$B$21</f>
        <v>80</v>
      </c>
      <c r="H7" s="9" t="n">
        <f aca="false">Premissas!$B$21</f>
        <v>80</v>
      </c>
      <c r="I7" s="9" t="n">
        <f aca="false">Premissas!$B$21</f>
        <v>80</v>
      </c>
      <c r="J7" s="9" t="n">
        <f aca="false">Premissas!$B$21</f>
        <v>80</v>
      </c>
      <c r="K7" s="9" t="n">
        <f aca="false">Premissas!$B$21</f>
        <v>80</v>
      </c>
      <c r="L7" s="9" t="n">
        <f aca="false">Premissas!$B$21</f>
        <v>80</v>
      </c>
      <c r="M7" s="9" t="n">
        <f aca="false">Premissas!$B$21</f>
        <v>80</v>
      </c>
      <c r="N7" s="28" t="n">
        <f aca="false">SUM(B7:M7)</f>
        <v>960</v>
      </c>
    </row>
    <row r="8" customFormat="false" ht="15" hidden="false" customHeight="true" outlineLevel="0" collapsed="false">
      <c r="A8" s="4" t="s">
        <v>132</v>
      </c>
      <c r="B8" s="26" t="n">
        <f aca="false">B5-B6-B7</f>
        <v>-944.02</v>
      </c>
      <c r="C8" s="26" t="n">
        <f aca="false">C5-C6-C7</f>
        <v>883.176</v>
      </c>
      <c r="D8" s="26" t="n">
        <f aca="false">D5-D6-D7</f>
        <v>1110.372</v>
      </c>
      <c r="E8" s="26" t="n">
        <f aca="false">E5-E6-E7</f>
        <v>1337.568</v>
      </c>
      <c r="F8" s="26" t="n">
        <f aca="false">F5-F6-F7</f>
        <v>1464.764</v>
      </c>
      <c r="G8" s="26" t="n">
        <f aca="false">G5-G6-G7</f>
        <v>1691.96</v>
      </c>
      <c r="H8" s="26" t="n">
        <f aca="false">H5-H6-H7</f>
        <v>1919.156</v>
      </c>
      <c r="I8" s="26" t="n">
        <f aca="false">I5-I6-I7</f>
        <v>2046.352</v>
      </c>
      <c r="J8" s="26" t="n">
        <f aca="false">J5-J6-J7</f>
        <v>2273.548</v>
      </c>
      <c r="K8" s="26" t="n">
        <f aca="false">K5-K6-K7</f>
        <v>2400.744</v>
      </c>
      <c r="L8" s="26" t="n">
        <f aca="false">L5-L6-L7</f>
        <v>2627.94</v>
      </c>
      <c r="M8" s="26" t="n">
        <f aca="false">M5-M6-M7</f>
        <v>2755.136</v>
      </c>
      <c r="N8" s="26" t="n">
        <f aca="false">SUM(B8:M8)</f>
        <v>19566.696</v>
      </c>
    </row>
    <row r="9" customFormat="false" ht="15" hidden="false" customHeight="true" outlineLevel="0" collapsed="false">
      <c r="A9" s="4" t="s">
        <v>133</v>
      </c>
      <c r="B9" s="28" t="n">
        <f aca="false">B8</f>
        <v>-944.02</v>
      </c>
      <c r="C9" s="28" t="n">
        <f aca="false">B9+C8</f>
        <v>-60.8440000000001</v>
      </c>
      <c r="D9" s="28" t="n">
        <f aca="false">C9+D8</f>
        <v>1049.528</v>
      </c>
      <c r="E9" s="28" t="n">
        <f aca="false">D9+E8</f>
        <v>2387.096</v>
      </c>
      <c r="F9" s="28" t="n">
        <f aca="false">E9+F8</f>
        <v>3851.86</v>
      </c>
      <c r="G9" s="28" t="n">
        <f aca="false">F9+G8</f>
        <v>5543.82</v>
      </c>
      <c r="H9" s="28" t="n">
        <f aca="false">G9+H8</f>
        <v>7462.976</v>
      </c>
      <c r="I9" s="28" t="n">
        <f aca="false">H9+I8</f>
        <v>9509.328</v>
      </c>
      <c r="J9" s="28" t="n">
        <f aca="false">I9+J8</f>
        <v>11782.876</v>
      </c>
      <c r="K9" s="28" t="n">
        <f aca="false">J9+K8</f>
        <v>14183.62</v>
      </c>
      <c r="L9" s="28" t="n">
        <f aca="false">K9+L8</f>
        <v>16811.56</v>
      </c>
      <c r="M9" s="28" t="n">
        <f aca="false">L9+M8</f>
        <v>19566.696</v>
      </c>
    </row>
    <row r="11" customFormat="false" ht="15" hidden="false" customHeight="true" outlineLevel="0" collapsed="false">
      <c r="A11" s="11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2026-06-19T15:04:45Z</dcterms:created>
  <dc:creator>openpyxl</dc:creator>
  <dc:description/>
  <dc:language>en-US</dc:language>
  <cp:lastModifiedBy/>
  <dcterms:modified xsi:type="dcterms:W3CDTF">2026-06-19T15:05:11Z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