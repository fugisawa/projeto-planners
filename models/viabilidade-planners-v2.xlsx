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bre" sheetId="1" state="visible" r:id="rId1"/>
    <sheet name="Premissas" sheetId="2" state="visible" r:id="rId2"/>
    <sheet name="Unit Economics" sheetId="3" state="visible" r:id="rId3"/>
    <sheet name="Viabilidade" sheetId="4" state="visible" r:id="rId4"/>
    <sheet name="Cenários" sheetId="5" state="visible" r:id="rId5"/>
    <sheet name="Sensibilidade" sheetId="6" state="visible" r:id="rId6"/>
    <sheet name="Projeção 12M" sheetId="7" state="visible" r:id="rId7"/>
    <sheet name="Pró-labore (AxB)" sheetId="8" state="visible" r:id="rId8"/>
    <sheet name="EVEF (5 anos)" sheetId="9" state="visible" r:id="rId9"/>
    <sheet name="LTV &amp; Recorrênc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"/>
    <numFmt numFmtId="165" formatCode="R$ #,##0.00"/>
    <numFmt numFmtId="166" formatCode="0.0%"/>
    <numFmt numFmtId="167" formatCode="0.0"/>
    <numFmt numFmtId="168" formatCode="0.0&quot;×&quot;"/>
  </numFmts>
  <fonts count="13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sz val="10"/>
    </font>
    <font>
      <b val="1"/>
      <color rgb="001F3864"/>
    </font>
    <font>
      <sz val="10"/>
    </font>
    <font>
      <b val="1"/>
      <color rgb="00C00000"/>
    </font>
    <font>
      <b val="1"/>
    </font>
    <font>
      <b val="1"/>
      <color rgb="00FFFFFF"/>
      <sz val="12"/>
    </font>
    <font>
      <b val="1"/>
      <color rgb="000000FF"/>
    </font>
    <font>
      <i val="1"/>
      <color rgb="00808080"/>
      <sz val="9"/>
    </font>
    <font>
      <color rgb="00375623"/>
    </font>
    <font>
      <b val="1"/>
      <color rgb="00FFFF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DEEAF6"/>
      </patternFill>
    </fill>
    <fill>
      <patternFill patternType="solid">
        <fgColor rgb="002E5496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9" fontId="8" fillId="4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9" fontId="10" fillId="0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0" fontId="0" fillId="5" borderId="1" pivotButton="0" quotePrefix="0" xfId="0"/>
    <xf numFmtId="0" fontId="11" fillId="5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11" fillId="5" borderId="1" applyAlignment="1" pivotButton="0" quotePrefix="0" xfId="0">
      <alignment horizontal="center" vertical="center"/>
    </xf>
    <xf numFmtId="3" fontId="11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5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167" fontId="8" fillId="4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right" vertical="center"/>
    </xf>
    <xf numFmtId="168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ESTUDO DE VIABILIDADE ECONÔMICA — PROJETO PLANNERS (v2, reconstruído)</t>
        </is>
      </c>
    </row>
    <row r="3">
      <c r="B3" s="2" t="inlineStr">
        <is>
          <t>Dois SKUs perpétuos premium (Concurseiro R$119 / Treino R$109) · lançamento em paralelo · operação D2C a partir de Brasília/DF.</t>
        </is>
      </c>
    </row>
    <row r="4">
      <c r="B4" s="2" t="inlineStr">
        <is>
          <t>Investimento inicial R$ 5.000 (é o teste; há aporte conforme tração) · Fase 1 produção nacional · câmbio de planejamento USD/BRL ≈ R$ 5,20 · 19/jun/2026.</t>
        </is>
      </c>
    </row>
    <row r="6">
      <c r="B6" s="3" t="inlineStr">
        <is>
          <t>COMO USAR</t>
        </is>
      </c>
    </row>
    <row r="7">
      <c r="B7" s="4" t="inlineStr">
        <is>
          <t>1. Edite apenas as células AZUIS na aba 'Premissas'. Todo o resto recalcula.</t>
        </is>
      </c>
    </row>
    <row r="8">
      <c r="B8" s="4" t="inlineStr">
        <is>
          <t>2. 'Unit Economics' mostra a margem por canal (Direto x Mercado Livre x Shopee x Blended).</t>
        </is>
      </c>
    </row>
    <row r="9">
      <c r="B9" s="4" t="inlineStr">
        <is>
          <t>3. 'Viabilidade' responde: o 1º lote recupera o investimento? E quantas unidades/mês cobrem o pró-labore?</t>
        </is>
      </c>
    </row>
    <row r="10">
      <c r="B10" s="4" t="inlineStr">
        <is>
          <t>4. 'Cenários' compara Conservador/Base/Otimista no ANO 1, com dupla linha: antes e depois do pró-labore.</t>
        </is>
      </c>
    </row>
    <row r="11">
      <c r="B11" s="4" t="inlineStr">
        <is>
          <t>5. 'Sensibilidade' mostra o resultado do ano 1 variando unidades x preço — onde o plano vira ou não.</t>
        </is>
      </c>
    </row>
    <row r="12">
      <c r="B12" s="4" t="inlineStr">
        <is>
          <t>6. 'Projeção 12M' traça a trajetória mês a mês, com ramp começando do ZERO (construção de audiência) e pró-labore a partir do mês 5.</t>
        </is>
      </c>
    </row>
    <row r="14">
      <c r="B14" s="5" t="inlineStr">
        <is>
          <t>O QUE MUDOU vs. o rascunho</t>
        </is>
      </c>
    </row>
    <row r="15">
      <c r="B15" s="4" t="inlineStr">
        <is>
          <t>• PRÓ-LABORE incluído: R$ 1.000 por sócio (2 sócios) a partir do mês 5 — o rascunho ignorava a retirada dos donos.</t>
        </is>
      </c>
    </row>
    <row r="16">
      <c r="B16" s="4" t="inlineStr">
        <is>
          <t>• RAMP REALISTA: vendas começam perto de zero (sem audiência prévia); lançamento após ~2-3 meses construindo lista de espera. O rascunho assumia 20 un já no mês 1.</t>
        </is>
      </c>
    </row>
    <row r="17">
      <c r="B17" s="4" t="inlineStr">
        <is>
          <t>• MARKETPLACE corrigido: Mercado Livre Clássico ~14% sem taxa fixa acima de R$79; Shopee 14% + R$20 fixos (≈31% efetivo). O rascunho misturava as regras.</t>
        </is>
      </c>
    </row>
    <row r="18">
      <c r="B18" s="4" t="inlineStr">
        <is>
          <t>• DOIS SKUs em paralelo (mesma plataforma física) a preço médio ponderado.</t>
        </is>
      </c>
    </row>
    <row r="20">
      <c r="B20" s="3" t="inlineStr">
        <is>
          <t>FONTES (datadas — jun/2026; detalhe em research/evidence/)</t>
        </is>
      </c>
    </row>
    <row r="21">
      <c r="B21" s="4" t="inlineStr">
        <is>
          <t>• Concorrência/preço: Planner do Concurseiro (Juspodivm) R$ 84,90 promo / R$ 107–120 Amazon, 177 reviews; logbooks importados R$ 130–200 no BR; apps R$ 130–165/ano. (concorrencia-preco.md)</t>
        </is>
      </c>
    </row>
    <row r="22">
      <c r="B22" s="4" t="inlineStr">
        <is>
          <t>• Taxas: Mercado Livre Clássico 11–14% / Premium 15–19%, sem taxa fixa ≥R$79; Shopee 14% + R$20/item (faixa R$100–199,99), teto removido 2026. (canal-aquisicao.md)</t>
        </is>
      </c>
    </row>
    <row r="23">
      <c r="B23" s="4" t="inlineStr">
        <is>
          <t>• Mídia: Meta Ads BR — CPC R$0,80–3 (educ/fitness até R$5), conversão 1,2–2,2%, +12,15% de tributos na fatura. CAC de tráfego frio R$120–333 (inviável). (canal-aquisicao.md)</t>
        </is>
      </c>
    </row>
    <row r="24">
      <c r="B24" s="4" t="inlineStr">
        <is>
          <t>• Mercado: 4–6M concurseiros ativos (estudam ~2 anos); 13–15M praticantes de academia. SOM ano 1 ≈ 200–600 (Conc.) / 150–500 (Treino) un — limitado por aquisição. (mercado-demanda.md)</t>
        </is>
      </c>
    </row>
    <row r="26">
      <c r="B26" s="6" t="inlineStr">
        <is>
          <t>AVISO</t>
        </is>
      </c>
    </row>
    <row r="27">
      <c r="B27" s="4" t="inlineStr">
        <is>
          <t>Estimativas para apoio à decisão dos sócios. Custos de produção a confirmar por 3 orçamentos de gráfica; tributos/MEI por contador. Não é recomendação financeira.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52" customWidth="1" min="3" max="3"/>
  </cols>
  <sheetData>
    <row r="1">
      <c r="A1" s="7" t="inlineStr">
        <is>
          <t>PREMISSAS — edite apenas as células azuis</t>
        </is>
      </c>
    </row>
    <row r="2">
      <c r="A2" s="8" t="inlineStr">
        <is>
          <t>Investimento inicial</t>
        </is>
      </c>
    </row>
    <row r="3">
      <c r="A3" s="9" t="inlineStr">
        <is>
          <t>Material / 1º lote (R$)</t>
        </is>
      </c>
      <c r="B3" s="10" t="n">
        <v>3000</v>
      </c>
      <c r="C3" s="11" t="inlineStr">
        <is>
          <t>micro-lote ~50-80 un em gráfica BR</t>
        </is>
      </c>
    </row>
    <row r="4">
      <c r="A4" s="9" t="inlineStr">
        <is>
          <t>Conteúdo + amostras + seeding (R$)</t>
        </is>
      </c>
      <c r="B4" s="10" t="n">
        <v>800</v>
      </c>
      <c r="C4" s="11" t="inlineStr">
        <is>
          <t>fotos, brindes a micro-perfis de nicho</t>
        </is>
      </c>
    </row>
    <row r="5">
      <c r="A5" s="9" t="inlineStr">
        <is>
          <t>Mídia paga inicial — retargeting, a partir do mês 4 (R$)</t>
        </is>
      </c>
      <c r="B5" s="10" t="n">
        <v>800</v>
      </c>
      <c r="C5" s="11" t="inlineStr">
        <is>
          <t>NÃO usar em tráfego frio</t>
        </is>
      </c>
    </row>
    <row r="6">
      <c r="A6" s="9" t="inlineStr">
        <is>
          <t>Reserva operacional (R$)</t>
        </is>
      </c>
      <c r="B6" s="10" t="n">
        <v>400</v>
      </c>
    </row>
    <row r="7">
      <c r="A7" s="9" t="inlineStr">
        <is>
          <t>Investimento inicial total (R$)</t>
        </is>
      </c>
      <c r="B7" s="12">
        <f>B3+B4+B5+B6</f>
        <v/>
      </c>
      <c r="C7" s="11" t="inlineStr">
        <is>
          <t>é o teste; há aporte conforme tração</t>
        </is>
      </c>
    </row>
    <row r="8">
      <c r="A8" s="8" t="inlineStr">
        <is>
          <t>Produto &amp; preço</t>
        </is>
      </c>
    </row>
    <row r="9">
      <c r="A9" s="9" t="inlineStr">
        <is>
          <t>Preço de venda — Concurseiro (R$)</t>
        </is>
      </c>
      <c r="B9" s="13" t="n">
        <v>119</v>
      </c>
      <c r="C9" s="11" t="inlineStr">
        <is>
          <t>~paridade com Juspodivm; perpétuo = vantagem</t>
        </is>
      </c>
    </row>
    <row r="10">
      <c r="A10" s="9" t="inlineStr">
        <is>
          <t>Preço de venda — Treino de Força (R$)</t>
        </is>
      </c>
      <c r="B10" s="13" t="n">
        <v>109</v>
      </c>
      <c r="C10" s="11" t="inlineStr">
        <is>
          <t>abaixo de importados (R$130-200) e apps (R$130-165/ano)</t>
        </is>
      </c>
    </row>
    <row r="11">
      <c r="A11" s="9" t="inlineStr">
        <is>
          <t>% do mix de vendas em Concurseiro</t>
        </is>
      </c>
      <c r="B11" s="14" t="n">
        <v>0.5</v>
      </c>
      <c r="C11" s="11" t="inlineStr">
        <is>
          <t>lançamento equilibrado nos dois SKUs</t>
        </is>
      </c>
    </row>
    <row r="12">
      <c r="A12" s="9" t="inlineStr">
        <is>
          <t>Preço médio ponderado (R$)</t>
        </is>
      </c>
      <c r="B12" s="15">
        <f>B9*B11+B10*(1-B11)</f>
        <v/>
      </c>
    </row>
    <row r="13">
      <c r="A13" s="9" t="inlineStr">
        <is>
          <t>Custo/un — 1º micro-lote &lt;100 un (R$)</t>
        </is>
      </c>
      <c r="B13" s="13" t="n">
        <v>55</v>
      </c>
      <c r="C13" s="11" t="inlineStr">
        <is>
          <t>faixa gráfica BR 100un: R$40-65 (sourcing-tributos.md)</t>
        </is>
      </c>
    </row>
    <row r="14">
      <c r="A14" s="9" t="inlineStr">
        <is>
          <t>Custo/un — reposição ≥300 un (R$)</t>
        </is>
      </c>
      <c r="B14" s="13" t="n">
        <v>45</v>
      </c>
      <c r="C14" s="11" t="inlineStr">
        <is>
          <t>Tier B; cai com volume</t>
        </is>
      </c>
    </row>
    <row r="15">
      <c r="A15" s="8" t="inlineStr">
        <is>
          <t>Canais de venda</t>
        </is>
      </c>
    </row>
    <row r="16">
      <c r="A16" s="9" t="inlineStr">
        <is>
          <t>% vendas — canal direto</t>
        </is>
      </c>
      <c r="B16" s="14" t="n">
        <v>0.9</v>
      </c>
      <c r="C16" s="11" t="inlineStr">
        <is>
          <t>Instagram + checkout próprio + pix</t>
        </is>
      </c>
    </row>
    <row r="17">
      <c r="A17" s="9" t="inlineStr">
        <is>
          <t>% vendas — marketplace</t>
        </is>
      </c>
      <c r="B17" s="16">
        <f>1-B16</f>
        <v/>
      </c>
    </row>
    <row r="18">
      <c r="A18" s="9" t="inlineStr">
        <is>
          <t>Comissão Mercado Livre Clássico (%)</t>
        </is>
      </c>
      <c r="B18" s="17" t="n">
        <v>0.14</v>
      </c>
      <c r="C18" s="11" t="inlineStr">
        <is>
          <t>Clássico 11-14%; sem taxa fixa ≥R$79</t>
        </is>
      </c>
    </row>
    <row r="19">
      <c r="A19" s="9" t="inlineStr">
        <is>
          <t>Comissão Shopee (%)</t>
        </is>
      </c>
      <c r="B19" s="17" t="n">
        <v>0.14</v>
      </c>
      <c r="C19" s="11" t="inlineStr">
        <is>
          <t>faixa R$100-199,99</t>
        </is>
      </c>
    </row>
    <row r="20">
      <c r="A20" s="9" t="inlineStr">
        <is>
          <t>Taxa fixa Shopee (R$/item)</t>
        </is>
      </c>
      <c r="B20" s="13" t="n">
        <v>20</v>
      </c>
      <c r="C20" s="11" t="inlineStr">
        <is>
          <t>R$20 na faixa R$100-199,99 (mar/2026)</t>
        </is>
      </c>
    </row>
    <row r="21">
      <c r="A21" s="9" t="inlineStr">
        <is>
          <t>Frete grátis marketplace — custo loja (R$/venda)</t>
        </is>
      </c>
      <c r="B21" s="13" t="n">
        <v>18</v>
      </c>
      <c r="C21" s="11" t="inlineStr">
        <is>
          <t>frete grátis efetivamente exigido</t>
        </is>
      </c>
    </row>
    <row r="22">
      <c r="A22" s="9" t="inlineStr">
        <is>
          <t>Taxa de pagamento — canal direto (%)</t>
        </is>
      </c>
      <c r="B22" s="17" t="n">
        <v>0.025</v>
      </c>
      <c r="C22" s="11" t="inlineStr">
        <is>
          <t>blend pix (~1%) / cartão (~4%)</t>
        </is>
      </c>
    </row>
    <row r="23">
      <c r="A23" s="9" t="inlineStr">
        <is>
          <t>Frete canal direto pago pela loja (R$)</t>
        </is>
      </c>
      <c r="B23" s="13" t="n">
        <v>0</v>
      </c>
      <c r="C23" s="11" t="inlineStr">
        <is>
          <t>cliente paga; ver sensibilidade p/ frete grátis</t>
        </is>
      </c>
    </row>
    <row r="24">
      <c r="A24" s="8" t="inlineStr">
        <is>
          <t>Operacional &amp; tributário</t>
        </is>
      </c>
    </row>
    <row r="25">
      <c r="A25" s="9" t="inlineStr">
        <is>
          <t>Embalagem &amp; manuseio (R$/pedido)</t>
        </is>
      </c>
      <c r="B25" s="13" t="n">
        <v>4</v>
      </c>
    </row>
    <row r="26">
      <c r="A26" s="9" t="inlineStr">
        <is>
          <t>Provisão devoluções/perdas (%)</t>
        </is>
      </c>
      <c r="B26" s="17" t="n">
        <v>0.04</v>
      </c>
    </row>
    <row r="27">
      <c r="A27" s="9" t="inlineStr">
        <is>
          <t>DAS MEI mensal (R$)</t>
        </is>
      </c>
      <c r="B27" s="13" t="n">
        <v>81</v>
      </c>
      <c r="C27" s="11" t="inlineStr">
        <is>
          <t>CONFIRMAR 2026 (~5% do salário mín. + R$1)</t>
        </is>
      </c>
    </row>
    <row r="28">
      <c r="A28" s="8" t="inlineStr">
        <is>
          <t>Remuneração dos sócios (antes ignorada)</t>
        </is>
      </c>
    </row>
    <row r="29">
      <c r="A29" s="9" t="inlineStr">
        <is>
          <t>Pró-labore por sócio (R$/mês)</t>
        </is>
      </c>
      <c r="B29" s="10" t="n">
        <v>1000</v>
      </c>
      <c r="C29" s="11" t="inlineStr">
        <is>
          <t>mínimo combinado a partir do mês 5</t>
        </is>
      </c>
    </row>
    <row r="30">
      <c r="A30" s="9" t="inlineStr">
        <is>
          <t>Nº de sócios</t>
        </is>
      </c>
      <c r="B30" s="18" t="n">
        <v>2</v>
      </c>
    </row>
    <row r="31">
      <c r="A31" s="9" t="inlineStr">
        <is>
          <t>Mês de início do pró-labore</t>
        </is>
      </c>
      <c r="B31" s="18" t="n">
        <v>5</v>
      </c>
      <c r="C31" s="11" t="inlineStr">
        <is>
          <t>reinveste 100% nos meses 1-4</t>
        </is>
      </c>
    </row>
    <row r="32">
      <c r="A32" s="9" t="inlineStr">
        <is>
          <t>Pró-labore mensal total (R$)</t>
        </is>
      </c>
      <c r="B32" s="12">
        <f>B29*B30</f>
        <v/>
      </c>
    </row>
    <row r="33">
      <c r="A33" s="8" t="inlineStr">
        <is>
          <t>Aquisição (audiência do zero)</t>
        </is>
      </c>
    </row>
    <row r="34">
      <c r="A34" s="9" t="inlineStr">
        <is>
          <t>CAC orgânico (R$/cliente)</t>
        </is>
      </c>
      <c r="B34" s="13" t="n">
        <v>0</v>
      </c>
      <c r="C34" s="11" t="inlineStr">
        <is>
          <t>custo é tempo; forte do time = conteúdo</t>
        </is>
      </c>
    </row>
    <row r="35">
      <c r="A35" s="9" t="inlineStr">
        <is>
          <t>CAC pago — retargeting (R$/cliente)</t>
        </is>
      </c>
      <c r="B35" s="13" t="n">
        <v>40</v>
      </c>
      <c r="C35" s="11" t="inlineStr">
        <is>
          <t>só audiência quente; tráfego frio R$120-333 inviável</t>
        </is>
      </c>
    </row>
  </sheetData>
  <mergeCells count="7">
    <mergeCell ref="A28:C28"/>
    <mergeCell ref="A33:C33"/>
    <mergeCell ref="A1:C1"/>
    <mergeCell ref="A8:C8"/>
    <mergeCell ref="A15:C15"/>
    <mergeCell ref="A24:C2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7" t="inlineStr">
        <is>
          <t>UNIT ECONOMICS (por unidade vendida) — R$</t>
        </is>
      </c>
    </row>
    <row r="2">
      <c r="A2" s="19" t="inlineStr"/>
      <c r="B2" s="20" t="inlineStr">
        <is>
          <t>Canal Direto</t>
        </is>
      </c>
      <c r="C2" s="20" t="inlineStr">
        <is>
          <t>Merc. Livre</t>
        </is>
      </c>
      <c r="D2" s="20" t="inlineStr">
        <is>
          <t>Shopee</t>
        </is>
      </c>
      <c r="E2" s="20" t="inlineStr">
        <is>
          <t>Blended (90% Dir/10% ML)</t>
        </is>
      </c>
    </row>
    <row r="3">
      <c r="A3" s="9" t="inlineStr">
        <is>
          <t>Preço de venda</t>
        </is>
      </c>
      <c r="B3" s="21">
        <f>Premissas!$B$12</f>
        <v/>
      </c>
      <c r="C3" s="21">
        <f>Premissas!$B$12</f>
        <v/>
      </c>
      <c r="D3" s="21">
        <f>Premissas!$B$12</f>
        <v/>
      </c>
      <c r="E3" s="15">
        <f>B3*Premissas!$B$16+C3*Premissas!$B$17</f>
        <v/>
      </c>
    </row>
    <row r="4">
      <c r="A4" s="9" t="inlineStr">
        <is>
          <t>(−) Comissão marketplace</t>
        </is>
      </c>
      <c r="B4" s="21" t="n">
        <v>0</v>
      </c>
      <c r="C4" s="21">
        <f>C3*Premissas!$B$18</f>
        <v/>
      </c>
      <c r="D4" s="21">
        <f>D3*Premissas!$B$19</f>
        <v/>
      </c>
      <c r="E4" s="15">
        <f>B4*Premissas!$B$16+C4*Premissas!$B$17</f>
        <v/>
      </c>
    </row>
    <row r="5">
      <c r="A5" s="9" t="inlineStr">
        <is>
          <t>(−) Taxa fixa marketplace</t>
        </is>
      </c>
      <c r="B5" s="21" t="n">
        <v>0</v>
      </c>
      <c r="C5" s="21" t="n">
        <v>0</v>
      </c>
      <c r="D5" s="21">
        <f>Premissas!$B$20</f>
        <v/>
      </c>
      <c r="E5" s="15">
        <f>B5*Premissas!$B$16+C5*Premissas!$B$17</f>
        <v/>
      </c>
    </row>
    <row r="6">
      <c r="A6" s="9" t="inlineStr">
        <is>
          <t>(−) Frete (custo p/ loja)</t>
        </is>
      </c>
      <c r="B6" s="21">
        <f>Premissas!$B$23</f>
        <v/>
      </c>
      <c r="C6" s="21">
        <f>Premissas!$B$21</f>
        <v/>
      </c>
      <c r="D6" s="21">
        <f>Premissas!$B$21</f>
        <v/>
      </c>
      <c r="E6" s="15">
        <f>B6*Premissas!$B$16+C6*Premissas!$B$17</f>
        <v/>
      </c>
    </row>
    <row r="7">
      <c r="A7" s="9" t="inlineStr">
        <is>
          <t>(−) Taxa de pagamento</t>
        </is>
      </c>
      <c r="B7" s="21">
        <f>B3*Premissas!$B$22</f>
        <v/>
      </c>
      <c r="C7" s="21" t="n">
        <v>0</v>
      </c>
      <c r="D7" s="21" t="n">
        <v>0</v>
      </c>
      <c r="E7" s="15">
        <f>B7*Premissas!$B$16+C7*Premissas!$B$17</f>
        <v/>
      </c>
    </row>
    <row r="8">
      <c r="A8" s="9" t="inlineStr">
        <is>
          <t>(−) Embalagem &amp; manuseio</t>
        </is>
      </c>
      <c r="B8" s="21">
        <f>Premissas!$B$25</f>
        <v/>
      </c>
      <c r="C8" s="21">
        <f>Premissas!$B$25</f>
        <v/>
      </c>
      <c r="D8" s="21">
        <f>Premissas!$B$25</f>
        <v/>
      </c>
      <c r="E8" s="15">
        <f>B8*Premissas!$B$16+C8*Premissas!$B$17</f>
        <v/>
      </c>
    </row>
    <row r="9">
      <c r="A9" s="9" t="inlineStr">
        <is>
          <t>(−) Provisão devoluções</t>
        </is>
      </c>
      <c r="B9" s="21">
        <f>B3*Premissas!$B$26</f>
        <v/>
      </c>
      <c r="C9" s="21">
        <f>C3*Premissas!$B$26</f>
        <v/>
      </c>
      <c r="D9" s="21">
        <f>D3*Premissas!$B$26</f>
        <v/>
      </c>
      <c r="E9" s="15">
        <f>B9*Premissas!$B$16+C9*Premissas!$B$17</f>
        <v/>
      </c>
    </row>
    <row r="10">
      <c r="A10" s="22" t="inlineStr">
        <is>
          <t>(=) Contribuição/un (excl. produto)</t>
        </is>
      </c>
      <c r="B10" s="23">
        <f>B3-SUM(B4:B9)</f>
        <v/>
      </c>
      <c r="C10" s="23">
        <f>C3-SUM(C4:C9)</f>
        <v/>
      </c>
      <c r="D10" s="23">
        <f>D3-SUM(D4:D9)</f>
        <v/>
      </c>
      <c r="E10" s="23">
        <f>B10*Premissas!$B$16+C10*Premissas!$B$17</f>
        <v/>
      </c>
    </row>
    <row r="11">
      <c r="A11" s="9" t="inlineStr">
        <is>
          <t>(−) Custo do produto (reposição)</t>
        </is>
      </c>
      <c r="B11" s="21">
        <f>Premissas!$B$14</f>
        <v/>
      </c>
      <c r="C11" s="21">
        <f>Premissas!$B$14</f>
        <v/>
      </c>
      <c r="D11" s="21">
        <f>Premissas!$B$14</f>
        <v/>
      </c>
      <c r="E11" s="15">
        <f>B11*Premissas!$B$16+C11*Premissas!$B$17</f>
        <v/>
      </c>
    </row>
    <row r="12">
      <c r="A12" s="22" t="inlineStr">
        <is>
          <t>(=) Margem de contribuição/un</t>
        </is>
      </c>
      <c r="B12" s="23">
        <f>B10-B11</f>
        <v/>
      </c>
      <c r="C12" s="23">
        <f>C10-C11</f>
        <v/>
      </c>
      <c r="D12" s="23">
        <f>D10-D11</f>
        <v/>
      </c>
      <c r="E12" s="23">
        <f>B12*Premissas!$B$16+C12*Premissas!$B$17</f>
        <v/>
      </c>
    </row>
    <row r="13">
      <c r="A13" s="22" t="inlineStr">
        <is>
          <t>Margem de contribuição (%)</t>
        </is>
      </c>
      <c r="B13" s="24">
        <f>B12/B3</f>
        <v/>
      </c>
      <c r="C13" s="24">
        <f>C12/C3</f>
        <v/>
      </c>
      <c r="D13" s="24">
        <f>D12/D3</f>
        <v/>
      </c>
      <c r="E13" s="24">
        <f>E12/E3</f>
        <v/>
      </c>
    </row>
    <row r="15">
      <c r="A15" s="11" t="inlineStr">
        <is>
          <t>Direto preserva ~50% de margem; Shopee (14% + R$20 fixos + frete) quase zera. Fase 1 = vender direto; marketplace só para visibilidade.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7" t="inlineStr">
        <is>
          <t>VIABILIDADE &amp; PONTO DE EQUILÍBRIO</t>
        </is>
      </c>
    </row>
    <row r="3">
      <c r="A3" s="9" t="inlineStr">
        <is>
          <t>Investimento total (R$)</t>
        </is>
      </c>
      <c r="B3" s="12">
        <f>Premissas!B7</f>
        <v/>
      </c>
    </row>
    <row r="4">
      <c r="A4" s="9" t="inlineStr">
        <is>
          <t>Preço médio ponderado (R$)</t>
        </is>
      </c>
      <c r="B4" s="15">
        <f>Premissas!B12</f>
        <v/>
      </c>
    </row>
    <row r="5">
      <c r="A5" s="9" t="inlineStr">
        <is>
          <t>Unidades no 1º lote (custo micro)</t>
        </is>
      </c>
      <c r="B5" s="25">
        <f>ROUNDDOWN(Premissas!B3/Premissas!B13,0)</f>
        <v/>
      </c>
    </row>
    <row r="6">
      <c r="A6" s="9" t="inlineStr">
        <is>
          <t>Contribuição/un — blended, excl. produto (R$)</t>
        </is>
      </c>
      <c r="B6" s="15">
        <f>'Unit Economics'!E10</f>
        <v/>
      </c>
    </row>
    <row r="7">
      <c r="A7" s="9" t="inlineStr">
        <is>
          <t>Margem de contribuição/un — blended (R$)</t>
        </is>
      </c>
      <c r="B7" s="15">
        <f>'Unit Economics'!E12</f>
        <v/>
      </c>
    </row>
    <row r="9">
      <c r="A9" s="8" t="inlineStr">
        <is>
          <t>Break-even do investimento (1º ciclo)</t>
        </is>
      </c>
    </row>
    <row r="10">
      <c r="A10" s="9" t="inlineStr">
        <is>
          <t>Unidades p/ recuperar o investimento</t>
        </is>
      </c>
      <c r="B10" s="25">
        <f>ROUNDUP(B3/B6,0)</f>
        <v/>
      </c>
    </row>
    <row r="11">
      <c r="A11" s="9" t="inlineStr">
        <is>
          <t>% do 1º lote que precisa vender</t>
        </is>
      </c>
      <c r="B11" s="26">
        <f>B10/B5</f>
        <v/>
      </c>
    </row>
    <row r="13">
      <c r="A13" s="8" t="inlineStr">
        <is>
          <t>Break-even operacional mensal (cobrir os donos)</t>
        </is>
      </c>
    </row>
    <row r="14">
      <c r="A14" s="9" t="inlineStr">
        <is>
          <t>Custo fixo mensal: pró-labore + DAS (R$)</t>
        </is>
      </c>
      <c r="B14" s="12">
        <f>Premissas!B32+Premissas!B27</f>
        <v/>
      </c>
    </row>
    <row r="15">
      <c r="A15" s="9" t="inlineStr">
        <is>
          <t>Unidades/mês p/ break-even (com pró-labore)</t>
        </is>
      </c>
      <c r="B15" s="25">
        <f>ROUNDUP(B14/B7,0)</f>
        <v/>
      </c>
    </row>
    <row r="16">
      <c r="A16" s="9" t="inlineStr">
        <is>
          <t>Receita/mês no break-even (R$)</t>
        </is>
      </c>
      <c r="B16" s="27">
        <f>B15*B4</f>
        <v/>
      </c>
    </row>
    <row r="18">
      <c r="A18" s="11" t="inlineStr">
        <is>
          <t>O 1º lote prova demanda. O teste de viabilidade REAL é a linha de cima: ~38 un/mês cobrem o pró-labore dos dois sócios (mês 5+). Ver 'Projeção 12M'.</t>
        </is>
      </c>
    </row>
    <row r="19"/>
  </sheetData>
  <mergeCells count="4">
    <mergeCell ref="A9:B9"/>
    <mergeCell ref="A13:B13"/>
    <mergeCell ref="A18:B19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</cols>
  <sheetData>
    <row r="1">
      <c r="A1" s="7" t="inlineStr">
        <is>
          <t>CENÁRIOS — Ano 1 (lançamento dos 2 SKUs em paralelo)</t>
        </is>
      </c>
    </row>
    <row r="2">
      <c r="A2" s="19" t="inlineStr"/>
      <c r="B2" s="28" t="inlineStr">
        <is>
          <t>Conservador</t>
        </is>
      </c>
      <c r="C2" s="28" t="inlineStr">
        <is>
          <t>Base</t>
        </is>
      </c>
      <c r="D2" s="28" t="inlineStr">
        <is>
          <t>Otimista</t>
        </is>
      </c>
    </row>
    <row r="3">
      <c r="A3" s="8" t="inlineStr">
        <is>
          <t>ENTRADAS</t>
        </is>
      </c>
    </row>
    <row r="4">
      <c r="A4" s="9" t="inlineStr">
        <is>
          <t>Unidades vendidas no ano 1 (un)</t>
        </is>
      </c>
      <c r="B4" s="18" t="n">
        <v>180</v>
      </c>
      <c r="C4" s="18" t="n">
        <v>360</v>
      </c>
      <c r="D4" s="18" t="n">
        <v>650</v>
      </c>
    </row>
    <row r="5">
      <c r="A5" s="9" t="inlineStr">
        <is>
          <t>Preço médio (R$)</t>
        </is>
      </c>
      <c r="B5" s="13" t="n">
        <v>109</v>
      </c>
      <c r="C5" s="13" t="n">
        <v>114</v>
      </c>
      <c r="D5" s="13" t="n">
        <v>119</v>
      </c>
    </row>
    <row r="6">
      <c r="A6" s="9" t="inlineStr">
        <is>
          <t>Custo/un (R$)</t>
        </is>
      </c>
      <c r="B6" s="13" t="n">
        <v>52</v>
      </c>
      <c r="C6" s="13" t="n">
        <v>45</v>
      </c>
      <c r="D6" s="13" t="n">
        <v>40</v>
      </c>
    </row>
    <row r="7">
      <c r="A7" s="9" t="inlineStr">
        <is>
          <t>% canal direto</t>
        </is>
      </c>
      <c r="B7" s="14" t="n">
        <v>0.8</v>
      </c>
      <c r="C7" s="14" t="n">
        <v>0.9</v>
      </c>
      <c r="D7" s="14" t="n">
        <v>0.95</v>
      </c>
    </row>
    <row r="8">
      <c r="A8" s="9" t="inlineStr">
        <is>
          <t>Marketing no ano (R$)</t>
        </is>
      </c>
      <c r="B8" s="10" t="n">
        <v>1500</v>
      </c>
      <c r="C8" s="10" t="n">
        <v>2400</v>
      </c>
      <c r="D8" s="10" t="n">
        <v>3600</v>
      </c>
    </row>
    <row r="9">
      <c r="A9" s="9" t="inlineStr">
        <is>
          <t>Meses com pró-labore (5–12)</t>
        </is>
      </c>
      <c r="B9" s="18" t="n">
        <v>8</v>
      </c>
      <c r="C9" s="18" t="n">
        <v>8</v>
      </c>
      <c r="D9" s="18" t="n">
        <v>8</v>
      </c>
    </row>
    <row r="10">
      <c r="A10" s="8" t="inlineStr">
        <is>
          <t>RESULTADO</t>
        </is>
      </c>
    </row>
    <row r="11">
      <c r="A11" s="9" t="inlineStr">
        <is>
          <t>Contrib/un direto, excl. produto (R$)</t>
        </is>
      </c>
      <c r="B11" s="21">
        <f>B5-(B5*Premissas!$B$22+Premissas!$B$25+B5*Premissas!$B$26+Premissas!$B$23)</f>
        <v/>
      </c>
      <c r="C11" s="21">
        <f>C5-(C5*Premissas!$B$22+Premissas!$B$25+C5*Premissas!$B$26+Premissas!$B$23)</f>
        <v/>
      </c>
      <c r="D11" s="21">
        <f>D5-(D5*Premissas!$B$22+Premissas!$B$25+D5*Premissas!$B$26+Premissas!$B$23)</f>
        <v/>
      </c>
    </row>
    <row r="12">
      <c r="A12" s="9" t="inlineStr">
        <is>
          <t>Contrib/un marketplace (ML), excl. produto (R$)</t>
        </is>
      </c>
      <c r="B12" s="21">
        <f>B5-(B5*Premissas!$B$18+Premissas!$B$25+Premissas!$B$21+B5*Premissas!$B$26)</f>
        <v/>
      </c>
      <c r="C12" s="21">
        <f>C5-(C5*Premissas!$B$18+Premissas!$B$25+Premissas!$B$21+C5*Premissas!$B$26)</f>
        <v/>
      </c>
      <c r="D12" s="21">
        <f>D5-(D5*Premissas!$B$18+Premissas!$B$25+Premissas!$B$21+D5*Premissas!$B$26)</f>
        <v/>
      </c>
    </row>
    <row r="13">
      <c r="A13" s="9" t="inlineStr">
        <is>
          <t>Contrib/un blended, excl. produto (R$)</t>
        </is>
      </c>
      <c r="B13" s="21">
        <f>B11*B7+B12*(1-B7)</f>
        <v/>
      </c>
      <c r="C13" s="21">
        <f>C11*C7+C12*(1-C7)</f>
        <v/>
      </c>
      <c r="D13" s="21">
        <f>D11*D7+D12*(1-D7)</f>
        <v/>
      </c>
    </row>
    <row r="14">
      <c r="A14" s="9" t="inlineStr">
        <is>
          <t>Margem de contribuição/un (com produto) (R$)</t>
        </is>
      </c>
      <c r="B14" s="21">
        <f>B13-B6</f>
        <v/>
      </c>
      <c r="C14" s="21">
        <f>C13-C6</f>
        <v/>
      </c>
      <c r="D14" s="21">
        <f>D13-D6</f>
        <v/>
      </c>
    </row>
    <row r="15">
      <c r="A15" s="9" t="inlineStr">
        <is>
          <t>Receita bruta (R$)</t>
        </is>
      </c>
      <c r="B15" s="29">
        <f>B4*B5</f>
        <v/>
      </c>
      <c r="C15" s="29">
        <f>C4*C5</f>
        <v/>
      </c>
      <c r="D15" s="29">
        <f>D4*D5</f>
        <v/>
      </c>
    </row>
    <row r="16">
      <c r="A16" s="9" t="inlineStr">
        <is>
          <t>Margem de contribuição total (R$)</t>
        </is>
      </c>
      <c r="B16" s="29">
        <f>B4*B14</f>
        <v/>
      </c>
      <c r="C16" s="29">
        <f>C4*C14</f>
        <v/>
      </c>
      <c r="D16" s="29">
        <f>D4*D14</f>
        <v/>
      </c>
    </row>
    <row r="17">
      <c r="A17" s="9" t="inlineStr">
        <is>
          <t>(−) Marketing (R$)</t>
        </is>
      </c>
      <c r="B17" s="29">
        <f>B8</f>
        <v/>
      </c>
      <c r="C17" s="29">
        <f>C8</f>
        <v/>
      </c>
      <c r="D17" s="29">
        <f>D8</f>
        <v/>
      </c>
    </row>
    <row r="18">
      <c r="A18" s="9" t="inlineStr">
        <is>
          <t>(−) DAS MEI no ano (12m) (R$)</t>
        </is>
      </c>
      <c r="B18" s="29">
        <f>Premissas!$B$27*12</f>
        <v/>
      </c>
      <c r="C18" s="29">
        <f>Premissas!$B$27*12</f>
        <v/>
      </c>
      <c r="D18" s="29">
        <f>Premissas!$B$27*12</f>
        <v/>
      </c>
    </row>
    <row r="19">
      <c r="A19" s="22" t="inlineStr">
        <is>
          <t>(=) Geração de caixa ANTES do pró-labore (R$)</t>
        </is>
      </c>
      <c r="B19" s="30">
        <f>B16-B17-B18</f>
        <v/>
      </c>
      <c r="C19" s="30">
        <f>C16-C17-C18</f>
        <v/>
      </c>
      <c r="D19" s="30">
        <f>D16-D17-D18</f>
        <v/>
      </c>
    </row>
    <row r="20">
      <c r="A20" s="9" t="inlineStr">
        <is>
          <t>(−) Pró-labore retirado no ano (R$)</t>
        </is>
      </c>
      <c r="B20" s="29">
        <f>B9*Premissas!$B$32</f>
        <v/>
      </c>
      <c r="C20" s="29">
        <f>C9*Premissas!$B$32</f>
        <v/>
      </c>
      <c r="D20" s="29">
        <f>D9*Premissas!$B$32</f>
        <v/>
      </c>
    </row>
    <row r="21">
      <c r="A21" s="22" t="inlineStr">
        <is>
          <t>(=) Resultado DEPOIS do pró-labore (R$)</t>
        </is>
      </c>
      <c r="B21" s="30">
        <f>B19-B20</f>
        <v/>
      </c>
      <c r="C21" s="30">
        <f>C19-C20</f>
        <v/>
      </c>
      <c r="D21" s="30">
        <f>D19-D20</f>
        <v/>
      </c>
    </row>
    <row r="22">
      <c r="A22" s="9" t="inlineStr">
        <is>
          <t>ROI do capital (caixa antes pró-labore / invest.)</t>
        </is>
      </c>
      <c r="B22" s="31">
        <f>B19/Premissas!$B$7</f>
        <v/>
      </c>
      <c r="C22" s="31">
        <f>C19/Premissas!$B$7</f>
        <v/>
      </c>
      <c r="D22" s="31">
        <f>D19/Premissas!$B$7</f>
        <v/>
      </c>
    </row>
    <row r="24">
      <c r="A24" s="11" t="inlineStr">
        <is>
          <t>Duas linhas de fundo: 'antes do pró-labore' = o caixa que o negócio gera (recupera o investimento de R$5k já no cenário-base). 'Depois do pró-labore' = se o negócio banca os R$2k/mês dos sócios — no ano 1 fica perto do zero (base), o que é normal num bootstrap: a auto-suficiência chega ao longo do ano (ver Projeção 12M) e escala em 2027.</t>
        </is>
      </c>
    </row>
    <row r="25"/>
  </sheetData>
  <mergeCells count="4">
    <mergeCell ref="A1:D1"/>
    <mergeCell ref="A3:D3"/>
    <mergeCell ref="A10:D10"/>
    <mergeCell ref="A24:D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SENSIBILIDADE — Resultado do ano 1 DEPOIS do pró-labore (R$)</t>
        </is>
      </c>
    </row>
    <row r="3">
      <c r="A3" s="32" t="inlineStr">
        <is>
          <t>Premissas fixas: custo/un R$45 · 90% direto · marketing R$2.400 · DAS 12m · pró-labore 8m × R$2.000.</t>
        </is>
      </c>
      <c r="B3" s="33" t="n"/>
      <c r="C3" s="33" t="n"/>
      <c r="D3" s="33" t="n"/>
      <c r="E3" s="33" t="n"/>
      <c r="F3" s="34" t="n"/>
    </row>
    <row r="5">
      <c r="A5" s="20" t="inlineStr">
        <is>
          <t>Unid. ano 1 ↓ / Preço médio →</t>
        </is>
      </c>
      <c r="B5" s="35" t="n">
        <v>104</v>
      </c>
      <c r="C5" s="35" t="n">
        <v>109</v>
      </c>
      <c r="D5" s="35" t="n">
        <v>114</v>
      </c>
      <c r="E5" s="35" t="n">
        <v>119</v>
      </c>
      <c r="F5" s="35" t="n">
        <v>124</v>
      </c>
    </row>
    <row r="6">
      <c r="A6" s="36" t="n">
        <v>180</v>
      </c>
      <c r="B6" s="29">
        <f>$A6*(((B$5-(B$5*Premissas!$B$22+Premissas!$B$25+B$5*Premissas!$B$26+Premissas!$B$23))*Premissas!$B$16+(B$5-(B$5*Premissas!$B$18+Premissas!$B$25+Premissas!$B$21+B$5*Premissas!$B$26))*Premissas!$B$17)-Premissas!$B$14)-2400-Premissas!$B$27*12-8*Premissas!$B$32</f>
        <v/>
      </c>
      <c r="C6" s="29">
        <f>$A6*(((C$5-(C$5*Premissas!$B$22+Premissas!$B$25+C$5*Premissas!$B$26+Premissas!$B$23))*Premissas!$B$16+(C$5-(C$5*Premissas!$B$18+Premissas!$B$25+Premissas!$B$21+C$5*Premissas!$B$26))*Premissas!$B$17)-Premissas!$B$14)-2400-Premissas!$B$27*12-8*Premissas!$B$32</f>
        <v/>
      </c>
      <c r="D6" s="29">
        <f>$A6*(((D$5-(D$5*Premissas!$B$22+Premissas!$B$25+D$5*Premissas!$B$26+Premissas!$B$23))*Premissas!$B$16+(D$5-(D$5*Premissas!$B$18+Premissas!$B$25+Premissas!$B$21+D$5*Premissas!$B$26))*Premissas!$B$17)-Premissas!$B$14)-2400-Premissas!$B$27*12-8*Premissas!$B$32</f>
        <v/>
      </c>
      <c r="E6" s="29">
        <f>$A6*(((E$5-(E$5*Premissas!$B$22+Premissas!$B$25+E$5*Premissas!$B$26+Premissas!$B$23))*Premissas!$B$16+(E$5-(E$5*Premissas!$B$18+Premissas!$B$25+Premissas!$B$21+E$5*Premissas!$B$26))*Premissas!$B$17)-Premissas!$B$14)-2400-Premissas!$B$27*12-8*Premissas!$B$32</f>
        <v/>
      </c>
      <c r="F6" s="29">
        <f>$A6*(((F$5-(F$5*Premissas!$B$22+Premissas!$B$25+F$5*Premissas!$B$26+Premissas!$B$23))*Premissas!$B$16+(F$5-(F$5*Premissas!$B$18+Premissas!$B$25+Premissas!$B$21+F$5*Premissas!$B$26))*Premissas!$B$17)-Premissas!$B$14)-2400-Premissas!$B$27*12-8*Premissas!$B$32</f>
        <v/>
      </c>
    </row>
    <row r="7">
      <c r="A7" s="36" t="n">
        <v>260</v>
      </c>
      <c r="B7" s="29">
        <f>$A7*(((B$5-(B$5*Premissas!$B$22+Premissas!$B$25+B$5*Premissas!$B$26+Premissas!$B$23))*Premissas!$B$16+(B$5-(B$5*Premissas!$B$18+Premissas!$B$25+Premissas!$B$21+B$5*Premissas!$B$26))*Premissas!$B$17)-Premissas!$B$14)-2400-Premissas!$B$27*12-8*Premissas!$B$32</f>
        <v/>
      </c>
      <c r="C7" s="29">
        <f>$A7*(((C$5-(C$5*Premissas!$B$22+Premissas!$B$25+C$5*Premissas!$B$26+Premissas!$B$23))*Premissas!$B$16+(C$5-(C$5*Premissas!$B$18+Premissas!$B$25+Premissas!$B$21+C$5*Premissas!$B$26))*Premissas!$B$17)-Premissas!$B$14)-2400-Premissas!$B$27*12-8*Premissas!$B$32</f>
        <v/>
      </c>
      <c r="D7" s="29">
        <f>$A7*(((D$5-(D$5*Premissas!$B$22+Premissas!$B$25+D$5*Premissas!$B$26+Premissas!$B$23))*Premissas!$B$16+(D$5-(D$5*Premissas!$B$18+Premissas!$B$25+Premissas!$B$21+D$5*Premissas!$B$26))*Premissas!$B$17)-Premissas!$B$14)-2400-Premissas!$B$27*12-8*Premissas!$B$32</f>
        <v/>
      </c>
      <c r="E7" s="29">
        <f>$A7*(((E$5-(E$5*Premissas!$B$22+Premissas!$B$25+E$5*Premissas!$B$26+Premissas!$B$23))*Premissas!$B$16+(E$5-(E$5*Premissas!$B$18+Premissas!$B$25+Premissas!$B$21+E$5*Premissas!$B$26))*Premissas!$B$17)-Premissas!$B$14)-2400-Premissas!$B$27*12-8*Premissas!$B$32</f>
        <v/>
      </c>
      <c r="F7" s="29">
        <f>$A7*(((F$5-(F$5*Premissas!$B$22+Premissas!$B$25+F$5*Premissas!$B$26+Premissas!$B$23))*Premissas!$B$16+(F$5-(F$5*Premissas!$B$18+Premissas!$B$25+Premissas!$B$21+F$5*Premissas!$B$26))*Premissas!$B$17)-Premissas!$B$14)-2400-Premissas!$B$27*12-8*Premissas!$B$32</f>
        <v/>
      </c>
    </row>
    <row r="8">
      <c r="A8" s="36" t="n">
        <v>340</v>
      </c>
      <c r="B8" s="29">
        <f>$A8*(((B$5-(B$5*Premissas!$B$22+Premissas!$B$25+B$5*Premissas!$B$26+Premissas!$B$23))*Premissas!$B$16+(B$5-(B$5*Premissas!$B$18+Premissas!$B$25+Premissas!$B$21+B$5*Premissas!$B$26))*Premissas!$B$17)-Premissas!$B$14)-2400-Premissas!$B$27*12-8*Premissas!$B$32</f>
        <v/>
      </c>
      <c r="C8" s="29">
        <f>$A8*(((C$5-(C$5*Premissas!$B$22+Premissas!$B$25+C$5*Premissas!$B$26+Premissas!$B$23))*Premissas!$B$16+(C$5-(C$5*Premissas!$B$18+Premissas!$B$25+Premissas!$B$21+C$5*Premissas!$B$26))*Premissas!$B$17)-Premissas!$B$14)-2400-Premissas!$B$27*12-8*Premissas!$B$32</f>
        <v/>
      </c>
      <c r="D8" s="29">
        <f>$A8*(((D$5-(D$5*Premissas!$B$22+Premissas!$B$25+D$5*Premissas!$B$26+Premissas!$B$23))*Premissas!$B$16+(D$5-(D$5*Premissas!$B$18+Premissas!$B$25+Premissas!$B$21+D$5*Premissas!$B$26))*Premissas!$B$17)-Premissas!$B$14)-2400-Premissas!$B$27*12-8*Premissas!$B$32</f>
        <v/>
      </c>
      <c r="E8" s="29">
        <f>$A8*(((E$5-(E$5*Premissas!$B$22+Premissas!$B$25+E$5*Premissas!$B$26+Premissas!$B$23))*Premissas!$B$16+(E$5-(E$5*Premissas!$B$18+Premissas!$B$25+Premissas!$B$21+E$5*Premissas!$B$26))*Premissas!$B$17)-Premissas!$B$14)-2400-Premissas!$B$27*12-8*Premissas!$B$32</f>
        <v/>
      </c>
      <c r="F8" s="29">
        <f>$A8*(((F$5-(F$5*Premissas!$B$22+Premissas!$B$25+F$5*Premissas!$B$26+Premissas!$B$23))*Premissas!$B$16+(F$5-(F$5*Premissas!$B$18+Premissas!$B$25+Premissas!$B$21+F$5*Premissas!$B$26))*Premissas!$B$17)-Premissas!$B$14)-2400-Premissas!$B$27*12-8*Premissas!$B$32</f>
        <v/>
      </c>
    </row>
    <row r="9">
      <c r="A9" s="36" t="n">
        <v>420</v>
      </c>
      <c r="B9" s="29">
        <f>$A9*(((B$5-(B$5*Premissas!$B$22+Premissas!$B$25+B$5*Premissas!$B$26+Premissas!$B$23))*Premissas!$B$16+(B$5-(B$5*Premissas!$B$18+Premissas!$B$25+Premissas!$B$21+B$5*Premissas!$B$26))*Premissas!$B$17)-Premissas!$B$14)-2400-Premissas!$B$27*12-8*Premissas!$B$32</f>
        <v/>
      </c>
      <c r="C9" s="29">
        <f>$A9*(((C$5-(C$5*Premissas!$B$22+Premissas!$B$25+C$5*Premissas!$B$26+Premissas!$B$23))*Premissas!$B$16+(C$5-(C$5*Premissas!$B$18+Premissas!$B$25+Premissas!$B$21+C$5*Premissas!$B$26))*Premissas!$B$17)-Premissas!$B$14)-2400-Premissas!$B$27*12-8*Premissas!$B$32</f>
        <v/>
      </c>
      <c r="D9" s="29">
        <f>$A9*(((D$5-(D$5*Premissas!$B$22+Premissas!$B$25+D$5*Premissas!$B$26+Premissas!$B$23))*Premissas!$B$16+(D$5-(D$5*Premissas!$B$18+Premissas!$B$25+Premissas!$B$21+D$5*Premissas!$B$26))*Premissas!$B$17)-Premissas!$B$14)-2400-Premissas!$B$27*12-8*Premissas!$B$32</f>
        <v/>
      </c>
      <c r="E9" s="29">
        <f>$A9*(((E$5-(E$5*Premissas!$B$22+Premissas!$B$25+E$5*Premissas!$B$26+Premissas!$B$23))*Premissas!$B$16+(E$5-(E$5*Premissas!$B$18+Premissas!$B$25+Premissas!$B$21+E$5*Premissas!$B$26))*Premissas!$B$17)-Premissas!$B$14)-2400-Premissas!$B$27*12-8*Premissas!$B$32</f>
        <v/>
      </c>
      <c r="F9" s="29">
        <f>$A9*(((F$5-(F$5*Premissas!$B$22+Premissas!$B$25+F$5*Premissas!$B$26+Premissas!$B$23))*Premissas!$B$16+(F$5-(F$5*Premissas!$B$18+Premissas!$B$25+Premissas!$B$21+F$5*Premissas!$B$26))*Premissas!$B$17)-Premissas!$B$14)-2400-Premissas!$B$27*12-8*Premissas!$B$32</f>
        <v/>
      </c>
    </row>
    <row r="10">
      <c r="A10" s="36" t="n">
        <v>500</v>
      </c>
      <c r="B10" s="29">
        <f>$A10*(((B$5-(B$5*Premissas!$B$22+Premissas!$B$25+B$5*Premissas!$B$26+Premissas!$B$23))*Premissas!$B$16+(B$5-(B$5*Premissas!$B$18+Premissas!$B$25+Premissas!$B$21+B$5*Premissas!$B$26))*Premissas!$B$17)-Premissas!$B$14)-2400-Premissas!$B$27*12-8*Premissas!$B$32</f>
        <v/>
      </c>
      <c r="C10" s="29">
        <f>$A10*(((C$5-(C$5*Premissas!$B$22+Premissas!$B$25+C$5*Premissas!$B$26+Premissas!$B$23))*Premissas!$B$16+(C$5-(C$5*Premissas!$B$18+Premissas!$B$25+Premissas!$B$21+C$5*Premissas!$B$26))*Premissas!$B$17)-Premissas!$B$14)-2400-Premissas!$B$27*12-8*Premissas!$B$32</f>
        <v/>
      </c>
      <c r="D10" s="29">
        <f>$A10*(((D$5-(D$5*Premissas!$B$22+Premissas!$B$25+D$5*Premissas!$B$26+Premissas!$B$23))*Premissas!$B$16+(D$5-(D$5*Premissas!$B$18+Premissas!$B$25+Premissas!$B$21+D$5*Premissas!$B$26))*Premissas!$B$17)-Premissas!$B$14)-2400-Premissas!$B$27*12-8*Premissas!$B$32</f>
        <v/>
      </c>
      <c r="E10" s="29">
        <f>$A10*(((E$5-(E$5*Premissas!$B$22+Premissas!$B$25+E$5*Premissas!$B$26+Premissas!$B$23))*Premissas!$B$16+(E$5-(E$5*Premissas!$B$18+Premissas!$B$25+Premissas!$B$21+E$5*Premissas!$B$26))*Premissas!$B$17)-Premissas!$B$14)-2400-Premissas!$B$27*12-8*Premissas!$B$32</f>
        <v/>
      </c>
      <c r="F10" s="29">
        <f>$A10*(((F$5-(F$5*Premissas!$B$22+Premissas!$B$25+F$5*Premissas!$B$26+Premissas!$B$23))*Premissas!$B$16+(F$5-(F$5*Premissas!$B$18+Premissas!$B$25+Premissas!$B$21+F$5*Premissas!$B$26))*Premissas!$B$17)-Premissas!$B$14)-2400-Premissas!$B$27*12-8*Premissas!$B$32</f>
        <v/>
      </c>
    </row>
    <row r="11">
      <c r="A11" s="36" t="n">
        <v>650</v>
      </c>
      <c r="B11" s="29">
        <f>$A11*(((B$5-(B$5*Premissas!$B$22+Premissas!$B$25+B$5*Premissas!$B$26+Premissas!$B$23))*Premissas!$B$16+(B$5-(B$5*Premissas!$B$18+Premissas!$B$25+Premissas!$B$21+B$5*Premissas!$B$26))*Premissas!$B$17)-Premissas!$B$14)-2400-Premissas!$B$27*12-8*Premissas!$B$32</f>
        <v/>
      </c>
      <c r="C11" s="29">
        <f>$A11*(((C$5-(C$5*Premissas!$B$22+Premissas!$B$25+C$5*Premissas!$B$26+Premissas!$B$23))*Premissas!$B$16+(C$5-(C$5*Premissas!$B$18+Premissas!$B$25+Premissas!$B$21+C$5*Premissas!$B$26))*Premissas!$B$17)-Premissas!$B$14)-2400-Premissas!$B$27*12-8*Premissas!$B$32</f>
        <v/>
      </c>
      <c r="D11" s="29">
        <f>$A11*(((D$5-(D$5*Premissas!$B$22+Premissas!$B$25+D$5*Premissas!$B$26+Premissas!$B$23))*Premissas!$B$16+(D$5-(D$5*Premissas!$B$18+Premissas!$B$25+Premissas!$B$21+D$5*Premissas!$B$26))*Premissas!$B$17)-Premissas!$B$14)-2400-Premissas!$B$27*12-8*Premissas!$B$32</f>
        <v/>
      </c>
      <c r="E11" s="29">
        <f>$A11*(((E$5-(E$5*Premissas!$B$22+Premissas!$B$25+E$5*Premissas!$B$26+Premissas!$B$23))*Premissas!$B$16+(E$5-(E$5*Premissas!$B$18+Premissas!$B$25+Premissas!$B$21+E$5*Premissas!$B$26))*Premissas!$B$17)-Premissas!$B$14)-2400-Premissas!$B$27*12-8*Premissas!$B$32</f>
        <v/>
      </c>
      <c r="F11" s="29">
        <f>$A11*(((F$5-(F$5*Premissas!$B$22+Premissas!$B$25+F$5*Premissas!$B$26+Premissas!$B$23))*Premissas!$B$16+(F$5-(F$5*Premissas!$B$18+Premissas!$B$25+Premissas!$B$21+F$5*Premissas!$B$26))*Premissas!$B$17)-Premissas!$B$14)-2400-Premissas!$B$27*12-8*Premissas!$B$32</f>
        <v/>
      </c>
    </row>
    <row r="13">
      <c r="A13" s="11" t="inlineStr">
        <is>
          <t>Leitura: abaixo de ~340 un/ano o negócio não cobre o pró-labore integral no ano 1 (esperado). A partir de ~420-500 un, o ano 1 já fecha positivo mesmo pagando os dois sócios. O preço move menos que o VOLUME — e volume = audiência. Por isso a aquisição orgânica é a alavanca nº 1.</t>
        </is>
      </c>
      <c r="B13" s="37" t="n"/>
      <c r="C13" s="37" t="n"/>
      <c r="D13" s="37" t="n"/>
      <c r="E13" s="37" t="n"/>
      <c r="F13" s="38" t="n"/>
    </row>
    <row r="14">
      <c r="A14" s="39" t="n"/>
      <c r="B14" s="40" t="n"/>
      <c r="C14" s="40" t="n"/>
      <c r="D14" s="40" t="n"/>
      <c r="E14" s="40" t="n"/>
      <c r="F14" s="41" t="n"/>
    </row>
  </sheetData>
  <mergeCells count="3">
    <mergeCell ref="A3:F3"/>
    <mergeCell ref="A13:F14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7" t="inlineStr">
        <is>
          <t>PROJEÇÃO 12 MESES (ramp do ZERO; pró-labore a partir do mês 5)</t>
        </is>
      </c>
    </row>
    <row r="2">
      <c r="A2" s="42" t="inlineStr">
        <is>
          <t>Mês</t>
        </is>
      </c>
      <c r="B2" s="36" t="n">
        <v>1</v>
      </c>
      <c r="C2" s="36" t="n">
        <v>2</v>
      </c>
      <c r="D2" s="36" t="n">
        <v>3</v>
      </c>
      <c r="E2" s="36" t="n">
        <v>4</v>
      </c>
      <c r="F2" s="36" t="n">
        <v>5</v>
      </c>
      <c r="G2" s="36" t="n">
        <v>6</v>
      </c>
      <c r="H2" s="36" t="n">
        <v>7</v>
      </c>
      <c r="I2" s="36" t="n">
        <v>8</v>
      </c>
      <c r="J2" s="36" t="n">
        <v>9</v>
      </c>
      <c r="K2" s="36" t="n">
        <v>10</v>
      </c>
      <c r="L2" s="36" t="n">
        <v>11</v>
      </c>
      <c r="M2" s="36" t="n">
        <v>12</v>
      </c>
      <c r="N2" s="28" t="inlineStr">
        <is>
          <t>Total</t>
        </is>
      </c>
    </row>
    <row r="3">
      <c r="A3" s="9" t="inlineStr">
        <is>
          <t>Unidades vendidas (un)</t>
        </is>
      </c>
      <c r="B3" s="43" t="n">
        <v>0</v>
      </c>
      <c r="C3" s="43" t="n">
        <v>0</v>
      </c>
      <c r="D3" s="43" t="n">
        <v>15</v>
      </c>
      <c r="E3" s="43" t="n">
        <v>22</v>
      </c>
      <c r="F3" s="43" t="n">
        <v>28</v>
      </c>
      <c r="G3" s="43" t="n">
        <v>32</v>
      </c>
      <c r="H3" s="43" t="n">
        <v>36</v>
      </c>
      <c r="I3" s="43" t="n">
        <v>40</v>
      </c>
      <c r="J3" s="43" t="n">
        <v>44</v>
      </c>
      <c r="K3" s="43" t="n">
        <v>50</v>
      </c>
      <c r="L3" s="43" t="n">
        <v>56</v>
      </c>
      <c r="M3" s="43" t="n">
        <v>64</v>
      </c>
      <c r="N3" s="44">
        <f>SUM(B3:M3)</f>
        <v/>
      </c>
    </row>
    <row r="4">
      <c r="A4" s="9" t="inlineStr">
        <is>
          <t>Receita bruta (R$)</t>
        </is>
      </c>
      <c r="B4" s="45">
        <f>B3*Premissas!$B$12</f>
        <v/>
      </c>
      <c r="C4" s="45">
        <f>C3*Premissas!$B$12</f>
        <v/>
      </c>
      <c r="D4" s="45">
        <f>D3*Premissas!$B$12</f>
        <v/>
      </c>
      <c r="E4" s="45">
        <f>E3*Premissas!$B$12</f>
        <v/>
      </c>
      <c r="F4" s="45">
        <f>F3*Premissas!$B$12</f>
        <v/>
      </c>
      <c r="G4" s="45">
        <f>G3*Premissas!$B$12</f>
        <v/>
      </c>
      <c r="H4" s="45">
        <f>H3*Premissas!$B$12</f>
        <v/>
      </c>
      <c r="I4" s="45">
        <f>I3*Premissas!$B$12</f>
        <v/>
      </c>
      <c r="J4" s="45">
        <f>J3*Premissas!$B$12</f>
        <v/>
      </c>
      <c r="K4" s="45">
        <f>K3*Premissas!$B$12</f>
        <v/>
      </c>
      <c r="L4" s="45">
        <f>L3*Premissas!$B$12</f>
        <v/>
      </c>
      <c r="M4" s="45">
        <f>M3*Premissas!$B$12</f>
        <v/>
      </c>
      <c r="N4" s="46">
        <f>SUM(B4:M4)</f>
        <v/>
      </c>
    </row>
    <row r="5">
      <c r="A5" s="9" t="inlineStr">
        <is>
          <t>Margem de contribuição (R$)</t>
        </is>
      </c>
      <c r="B5" s="45">
        <f>B3*'Unit Economics'!$E$12</f>
        <v/>
      </c>
      <c r="C5" s="45">
        <f>C3*'Unit Economics'!$E$12</f>
        <v/>
      </c>
      <c r="D5" s="45">
        <f>D3*'Unit Economics'!$E$12</f>
        <v/>
      </c>
      <c r="E5" s="45">
        <f>E3*'Unit Economics'!$E$12</f>
        <v/>
      </c>
      <c r="F5" s="45">
        <f>F3*'Unit Economics'!$E$12</f>
        <v/>
      </c>
      <c r="G5" s="45">
        <f>G3*'Unit Economics'!$E$12</f>
        <v/>
      </c>
      <c r="H5" s="45">
        <f>H3*'Unit Economics'!$E$12</f>
        <v/>
      </c>
      <c r="I5" s="45">
        <f>I3*'Unit Economics'!$E$12</f>
        <v/>
      </c>
      <c r="J5" s="45">
        <f>J3*'Unit Economics'!$E$12</f>
        <v/>
      </c>
      <c r="K5" s="45">
        <f>K3*'Unit Economics'!$E$12</f>
        <v/>
      </c>
      <c r="L5" s="45">
        <f>L3*'Unit Economics'!$E$12</f>
        <v/>
      </c>
      <c r="M5" s="45">
        <f>M3*'Unit Economics'!$E$12</f>
        <v/>
      </c>
      <c r="N5" s="46">
        <f>SUM(B5:M5)</f>
        <v/>
      </c>
    </row>
    <row r="6">
      <c r="A6" s="9" t="inlineStr">
        <is>
          <t>(−) Marketing (R$)</t>
        </is>
      </c>
      <c r="B6" s="47" t="n">
        <v>200</v>
      </c>
      <c r="C6" s="47" t="n">
        <v>200</v>
      </c>
      <c r="D6" s="47" t="n">
        <v>400</v>
      </c>
      <c r="E6" s="47" t="n">
        <v>350</v>
      </c>
      <c r="F6" s="47" t="n">
        <v>300</v>
      </c>
      <c r="G6" s="47" t="n">
        <v>250</v>
      </c>
      <c r="H6" s="47" t="n">
        <v>250</v>
      </c>
      <c r="I6" s="47" t="n">
        <v>200</v>
      </c>
      <c r="J6" s="47" t="n">
        <v>200</v>
      </c>
      <c r="K6" s="47" t="n">
        <v>200</v>
      </c>
      <c r="L6" s="47" t="n">
        <v>250</v>
      </c>
      <c r="M6" s="47" t="n">
        <v>300</v>
      </c>
      <c r="N6" s="46">
        <f>SUM(B6:M6)</f>
        <v/>
      </c>
    </row>
    <row r="7">
      <c r="A7" s="9" t="inlineStr">
        <is>
          <t>(−) DAS MEI (R$)</t>
        </is>
      </c>
      <c r="B7" s="45">
        <f>Premissas!$B$27</f>
        <v/>
      </c>
      <c r="C7" s="45">
        <f>Premissas!$B$27</f>
        <v/>
      </c>
      <c r="D7" s="45">
        <f>Premissas!$B$27</f>
        <v/>
      </c>
      <c r="E7" s="45">
        <f>Premissas!$B$27</f>
        <v/>
      </c>
      <c r="F7" s="45">
        <f>Premissas!$B$27</f>
        <v/>
      </c>
      <c r="G7" s="45">
        <f>Premissas!$B$27</f>
        <v/>
      </c>
      <c r="H7" s="45">
        <f>Premissas!$B$27</f>
        <v/>
      </c>
      <c r="I7" s="45">
        <f>Premissas!$B$27</f>
        <v/>
      </c>
      <c r="J7" s="45">
        <f>Premissas!$B$27</f>
        <v/>
      </c>
      <c r="K7" s="45">
        <f>Premissas!$B$27</f>
        <v/>
      </c>
      <c r="L7" s="45">
        <f>Premissas!$B$27</f>
        <v/>
      </c>
      <c r="M7" s="45">
        <f>Premissas!$B$27</f>
        <v/>
      </c>
      <c r="N7" s="46">
        <f>SUM(B7:M7)</f>
        <v/>
      </c>
    </row>
    <row r="8">
      <c r="A8" s="22" t="inlineStr">
        <is>
          <t>(=) Result. operacional (antes pró-labore) (R$)</t>
        </is>
      </c>
      <c r="B8" s="48">
        <f>B5-B6-B7</f>
        <v/>
      </c>
      <c r="C8" s="48">
        <f>C5-C6-C7</f>
        <v/>
      </c>
      <c r="D8" s="48">
        <f>D5-D6-D7</f>
        <v/>
      </c>
      <c r="E8" s="48">
        <f>E5-E6-E7</f>
        <v/>
      </c>
      <c r="F8" s="48">
        <f>F5-F6-F7</f>
        <v/>
      </c>
      <c r="G8" s="48">
        <f>G5-G6-G7</f>
        <v/>
      </c>
      <c r="H8" s="48">
        <f>H5-H6-H7</f>
        <v/>
      </c>
      <c r="I8" s="48">
        <f>I5-I6-I7</f>
        <v/>
      </c>
      <c r="J8" s="48">
        <f>J5-J6-J7</f>
        <v/>
      </c>
      <c r="K8" s="48">
        <f>K5-K6-K7</f>
        <v/>
      </c>
      <c r="L8" s="48">
        <f>L5-L6-L7</f>
        <v/>
      </c>
      <c r="M8" s="48">
        <f>M5-M6-M7</f>
        <v/>
      </c>
      <c r="N8" s="48">
        <f>SUM(B8:M8)</f>
        <v/>
      </c>
    </row>
    <row r="9">
      <c r="A9" s="9" t="inlineStr">
        <is>
          <t>(−) Pró-labore (R$)</t>
        </is>
      </c>
      <c r="B9" s="45">
        <f>IF(B$2&gt;=Premissas!$B$31,Premissas!$B$32,0)</f>
        <v/>
      </c>
      <c r="C9" s="45">
        <f>IF(C$2&gt;=Premissas!$B$31,Premissas!$B$32,0)</f>
        <v/>
      </c>
      <c r="D9" s="45">
        <f>IF(D$2&gt;=Premissas!$B$31,Premissas!$B$32,0)</f>
        <v/>
      </c>
      <c r="E9" s="45">
        <f>IF(E$2&gt;=Premissas!$B$31,Premissas!$B$32,0)</f>
        <v/>
      </c>
      <c r="F9" s="45">
        <f>IF(F$2&gt;=Premissas!$B$31,Premissas!$B$32,0)</f>
        <v/>
      </c>
      <c r="G9" s="45">
        <f>IF(G$2&gt;=Premissas!$B$31,Premissas!$B$32,0)</f>
        <v/>
      </c>
      <c r="H9" s="45">
        <f>IF(H$2&gt;=Premissas!$B$31,Premissas!$B$32,0)</f>
        <v/>
      </c>
      <c r="I9" s="45">
        <f>IF(I$2&gt;=Premissas!$B$31,Premissas!$B$32,0)</f>
        <v/>
      </c>
      <c r="J9" s="45">
        <f>IF(J$2&gt;=Premissas!$B$31,Premissas!$B$32,0)</f>
        <v/>
      </c>
      <c r="K9" s="45">
        <f>IF(K$2&gt;=Premissas!$B$31,Premissas!$B$32,0)</f>
        <v/>
      </c>
      <c r="L9" s="45">
        <f>IF(L$2&gt;=Premissas!$B$31,Premissas!$B$32,0)</f>
        <v/>
      </c>
      <c r="M9" s="45">
        <f>IF(M$2&gt;=Premissas!$B$31,Premissas!$B$32,0)</f>
        <v/>
      </c>
      <c r="N9" s="46">
        <f>SUM(B9:M9)</f>
        <v/>
      </c>
    </row>
    <row r="10">
      <c r="A10" s="22" t="inlineStr">
        <is>
          <t>(=) Resultado do mês (após pró-labore) (R$)</t>
        </is>
      </c>
      <c r="B10" s="48">
        <f>B8-B9</f>
        <v/>
      </c>
      <c r="C10" s="48">
        <f>C8-C9</f>
        <v/>
      </c>
      <c r="D10" s="48">
        <f>D8-D9</f>
        <v/>
      </c>
      <c r="E10" s="48">
        <f>E8-E9</f>
        <v/>
      </c>
      <c r="F10" s="48">
        <f>F8-F9</f>
        <v/>
      </c>
      <c r="G10" s="48">
        <f>G8-G9</f>
        <v/>
      </c>
      <c r="H10" s="48">
        <f>H8-H9</f>
        <v/>
      </c>
      <c r="I10" s="48">
        <f>I8-I9</f>
        <v/>
      </c>
      <c r="J10" s="48">
        <f>J8-J9</f>
        <v/>
      </c>
      <c r="K10" s="48">
        <f>K8-K9</f>
        <v/>
      </c>
      <c r="L10" s="48">
        <f>L8-L9</f>
        <v/>
      </c>
      <c r="M10" s="48">
        <f>M8-M9</f>
        <v/>
      </c>
      <c r="N10" s="48">
        <f>SUM(B10:M10)</f>
        <v/>
      </c>
    </row>
    <row r="11">
      <c r="A11" s="22" t="inlineStr">
        <is>
          <t>Resultado acumulado, após pró-labore (R$)</t>
        </is>
      </c>
      <c r="B11" s="48">
        <f>B10</f>
        <v/>
      </c>
      <c r="C11" s="48">
        <f>B11+C10</f>
        <v/>
      </c>
      <c r="D11" s="48">
        <f>C11+D10</f>
        <v/>
      </c>
      <c r="E11" s="48">
        <f>D11+E10</f>
        <v/>
      </c>
      <c r="F11" s="48">
        <f>E11+F10</f>
        <v/>
      </c>
      <c r="G11" s="48">
        <f>F11+G10</f>
        <v/>
      </c>
      <c r="H11" s="48">
        <f>G11+H10</f>
        <v/>
      </c>
      <c r="I11" s="48">
        <f>H11+I10</f>
        <v/>
      </c>
      <c r="J11" s="48">
        <f>I11+J10</f>
        <v/>
      </c>
      <c r="K11" s="48">
        <f>J11+K10</f>
        <v/>
      </c>
      <c r="L11" s="48">
        <f>K11+L10</f>
        <v/>
      </c>
      <c r="M11" s="48">
        <f>L11+M10</f>
        <v/>
      </c>
    </row>
    <row r="12">
      <c r="A12" s="9" t="inlineStr">
        <is>
          <t>Caixa operacional acum. (antes pró-labore) (R$)</t>
        </is>
      </c>
      <c r="B12" s="46">
        <f>B8</f>
        <v/>
      </c>
      <c r="C12" s="46">
        <f>B12+C8</f>
        <v/>
      </c>
      <c r="D12" s="46">
        <f>C12+D8</f>
        <v/>
      </c>
      <c r="E12" s="46">
        <f>D12+E8</f>
        <v/>
      </c>
      <c r="F12" s="46">
        <f>E12+F8</f>
        <v/>
      </c>
      <c r="G12" s="46">
        <f>F12+G8</f>
        <v/>
      </c>
      <c r="H12" s="46">
        <f>G12+H8</f>
        <v/>
      </c>
      <c r="I12" s="46">
        <f>H12+I8</f>
        <v/>
      </c>
      <c r="J12" s="46">
        <f>I12+J8</f>
        <v/>
      </c>
      <c r="K12" s="46">
        <f>J12+K8</f>
        <v/>
      </c>
      <c r="L12" s="46">
        <f>K12+L8</f>
        <v/>
      </c>
      <c r="M12" s="46">
        <f>L12+M8</f>
        <v/>
      </c>
    </row>
    <row r="14">
      <c r="A14" s="11" t="inlineStr">
        <is>
          <t>Convenção: caixa de partida = R$5.000. Meses 1-2 = construção de lista de espera (vendas ~0). Lançamento no mês 3. Pró-labore (R$2.000/mês) a partir do mês 5 — por isso o resultado mensal cai no mês 5 e volta a subir conforme o volume cresce. O negócio passa a cobrir o pró-labore por volta do mês ~9-10. Valores ILUSTRATIVOS — ajuste 'Unidades' e 'Marketing'.</t>
        </is>
      </c>
    </row>
    <row r="15"/>
  </sheetData>
  <mergeCells count="2">
    <mergeCell ref="A14:N15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</cols>
  <sheetData>
    <row r="1">
      <c r="A1" s="7" t="inlineStr">
        <is>
          <t>PRÓ-LABORE — ESTRATÉGIA A (antecipada) × B (otimizadora), 3 anos</t>
        </is>
      </c>
    </row>
    <row r="2">
      <c r="A2" s="19" t="inlineStr"/>
      <c r="B2" s="28" t="inlineStr">
        <is>
          <t>Ano 1</t>
        </is>
      </c>
      <c r="C2" s="28" t="inlineStr">
        <is>
          <t>Ano 2</t>
        </is>
      </c>
      <c r="D2" s="28" t="inlineStr">
        <is>
          <t>Ano 3</t>
        </is>
      </c>
    </row>
    <row r="3">
      <c r="A3" s="8" t="inlineStr">
        <is>
          <t>Trajetória do negócio (base — edite as células azuis)</t>
        </is>
      </c>
    </row>
    <row r="4">
      <c r="A4" s="9" t="inlineStr">
        <is>
          <t>Unidades vendidas (un)</t>
        </is>
      </c>
      <c r="B4" s="18" t="n">
        <v>387</v>
      </c>
      <c r="C4" s="18" t="n">
        <v>1440</v>
      </c>
      <c r="D4" s="18" t="n">
        <v>3000</v>
      </c>
    </row>
    <row r="5">
      <c r="A5" s="9" t="inlineStr">
        <is>
          <t>Preço médio (R$)</t>
        </is>
      </c>
      <c r="B5" s="13" t="n">
        <v>114</v>
      </c>
      <c r="C5" s="13" t="n">
        <v>124</v>
      </c>
      <c r="D5" s="13" t="n">
        <v>129</v>
      </c>
    </row>
    <row r="6">
      <c r="A6" s="9" t="inlineStr">
        <is>
          <t>Custo/un (R$)  [ano 3 = China ≥3.000 un]</t>
        </is>
      </c>
      <c r="B6" s="13" t="n">
        <v>45</v>
      </c>
      <c r="C6" s="13" t="n">
        <v>42</v>
      </c>
      <c r="D6" s="13" t="n">
        <v>33</v>
      </c>
    </row>
    <row r="7">
      <c r="A7" s="9" t="inlineStr">
        <is>
          <t>Marketing no ano (R$)</t>
        </is>
      </c>
      <c r="B7" s="10" t="n">
        <v>2900</v>
      </c>
      <c r="C7" s="10" t="n">
        <v>12000</v>
      </c>
      <c r="D7" s="10" t="n">
        <v>25000</v>
      </c>
    </row>
    <row r="8">
      <c r="A8" s="9" t="inlineStr">
        <is>
          <t>Tributos — % s/ receita (ano 1 = MEI fixo)</t>
        </is>
      </c>
      <c r="B8" s="17" t="n">
        <v>0</v>
      </c>
      <c r="C8" s="17" t="n">
        <v>0.06</v>
      </c>
      <c r="D8" s="17" t="n">
        <v>0.08</v>
      </c>
    </row>
    <row r="9">
      <c r="A9" s="9" t="inlineStr">
        <is>
          <t>Receita bruta (R$)</t>
        </is>
      </c>
      <c r="B9" s="27">
        <f>B4*B5</f>
        <v/>
      </c>
      <c r="C9" s="27">
        <f>C4*C5</f>
        <v/>
      </c>
      <c r="D9" s="27">
        <f>D4*D5</f>
        <v/>
      </c>
    </row>
    <row r="10">
      <c r="A10" s="9" t="inlineStr">
        <is>
          <t>MC/un blended (R$)</t>
        </is>
      </c>
      <c r="B10" s="21">
        <f>((B5-(B5*Premissas!$B$22+Premissas!$B$25+B5*Premissas!$B$26+Premissas!$B$23))*Premissas!$B$16+(B5-(B5*Premissas!$B$18+Premissas!$B$25+Premissas!$B$21+B5*Premissas!$B$26))*Premissas!$B$17)-B6</f>
        <v/>
      </c>
      <c r="C10" s="21">
        <f>((C5-(C5*Premissas!$B$22+Premissas!$B$25+C5*Premissas!$B$26+Premissas!$B$23))*Premissas!$B$16+(C5-(C5*Premissas!$B$18+Premissas!$B$25+Premissas!$B$21+C5*Premissas!$B$26))*Premissas!$B$17)-C6</f>
        <v/>
      </c>
      <c r="D10" s="21">
        <f>((D5-(D5*Premissas!$B$22+Premissas!$B$25+D5*Premissas!$B$26+Premissas!$B$23))*Premissas!$B$16+(D5-(D5*Premissas!$B$18+Premissas!$B$25+Premissas!$B$21+D5*Premissas!$B$26))*Premissas!$B$17)-D6</f>
        <v/>
      </c>
    </row>
    <row r="11">
      <c r="A11" s="9" t="inlineStr">
        <is>
          <t>Margem de contribuição total (R$)</t>
        </is>
      </c>
      <c r="B11" s="27">
        <f>B4*B10</f>
        <v/>
      </c>
      <c r="C11" s="27">
        <f>C4*C10</f>
        <v/>
      </c>
      <c r="D11" s="27">
        <f>D4*D10</f>
        <v/>
      </c>
    </row>
    <row r="12">
      <c r="A12" s="9" t="inlineStr">
        <is>
          <t>(−) Marketing (R$)</t>
        </is>
      </c>
      <c r="B12" s="27">
        <f>B7</f>
        <v/>
      </c>
      <c r="C12" s="27">
        <f>C7</f>
        <v/>
      </c>
      <c r="D12" s="27">
        <f>D7</f>
        <v/>
      </c>
    </row>
    <row r="13">
      <c r="A13" s="9" t="inlineStr">
        <is>
          <t>(−) Tributos (R$)</t>
        </is>
      </c>
      <c r="B13" s="29">
        <f>Premissas!$B$27*12</f>
        <v/>
      </c>
      <c r="C13" s="29">
        <f>C8*C9</f>
        <v/>
      </c>
      <c r="D13" s="29">
        <f>D8*D9</f>
        <v/>
      </c>
    </row>
    <row r="14">
      <c r="A14" s="22" t="inlineStr">
        <is>
          <t>(=) Geração de caixa ANTES do pró-labore (R$)</t>
        </is>
      </c>
      <c r="B14" s="30">
        <f>B11-B12-B13</f>
        <v/>
      </c>
      <c r="C14" s="30">
        <f>C11-C12-C13</f>
        <v/>
      </c>
      <c r="D14" s="30">
        <f>D11-D12-D13</f>
        <v/>
      </c>
    </row>
    <row r="16">
      <c r="A16" s="8" t="inlineStr">
        <is>
          <t>Estratégia A — pró-labore antecipado (R$ 2k/mês desde o mês 5)</t>
        </is>
      </c>
    </row>
    <row r="17">
      <c r="A17" s="9" t="inlineStr">
        <is>
          <t>Pró-labore retirado no ano (R$)</t>
        </is>
      </c>
      <c r="B17" s="10" t="n">
        <v>16000</v>
      </c>
      <c r="C17" s="10" t="n">
        <v>24000</v>
      </c>
      <c r="D17" s="10" t="n">
        <v>24000</v>
      </c>
    </row>
    <row r="18">
      <c r="A18" s="22" t="inlineStr">
        <is>
          <t>Resultado do negócio após pró-labore (R$)</t>
        </is>
      </c>
      <c r="B18" s="30">
        <f>B14-B17</f>
        <v/>
      </c>
      <c r="C18" s="30">
        <f>C14-C17</f>
        <v/>
      </c>
      <c r="D18" s="30">
        <f>D14-D17</f>
        <v/>
      </c>
    </row>
    <row r="19">
      <c r="A19" s="9" t="inlineStr">
        <is>
          <t>Pró-labore acumulado — sócios (R$)</t>
        </is>
      </c>
      <c r="B19" s="27">
        <f>B17</f>
        <v/>
      </c>
      <c r="C19" s="27">
        <f>B19+C17</f>
        <v/>
      </c>
      <c r="D19" s="27">
        <f>C19+D17</f>
        <v/>
      </c>
    </row>
    <row r="20">
      <c r="A20" s="9" t="inlineStr">
        <is>
          <t>Caixa do negócio acumulado (R$)</t>
        </is>
      </c>
      <c r="B20" s="27">
        <f>B18</f>
        <v/>
      </c>
      <c r="C20" s="27">
        <f>B20+C18</f>
        <v/>
      </c>
      <c r="D20" s="27">
        <f>C20+D18</f>
        <v/>
      </c>
    </row>
    <row r="22">
      <c r="A22" s="8" t="inlineStr">
        <is>
          <t>Estratégia B — otimizadora (pró-labore só a partir do ano 2)</t>
        </is>
      </c>
    </row>
    <row r="23">
      <c r="A23" s="9" t="inlineStr">
        <is>
          <t>Pró-labore/mês por sócio (referência)</t>
        </is>
      </c>
      <c r="B23" s="49" t="inlineStr">
        <is>
          <t>—</t>
        </is>
      </c>
      <c r="C23" s="49" t="inlineStr">
        <is>
          <t>R$ 500 → R$ 2.000</t>
        </is>
      </c>
      <c r="D23" s="49" t="inlineStr">
        <is>
          <t>R$ 3.000 (cada)</t>
        </is>
      </c>
    </row>
    <row r="24">
      <c r="A24" s="9" t="inlineStr">
        <is>
          <t>Pró-labore retirado no ano (R$)</t>
        </is>
      </c>
      <c r="B24" s="10" t="n">
        <v>0</v>
      </c>
      <c r="C24" s="10" t="n">
        <v>30000</v>
      </c>
      <c r="D24" s="10" t="n">
        <v>72000</v>
      </c>
    </row>
    <row r="25">
      <c r="A25" s="22" t="inlineStr">
        <is>
          <t>Resultado do negócio após pró-labore (R$)</t>
        </is>
      </c>
      <c r="B25" s="30">
        <f>B14-B24</f>
        <v/>
      </c>
      <c r="C25" s="30">
        <f>C14-C24</f>
        <v/>
      </c>
      <c r="D25" s="30">
        <f>D14-D24</f>
        <v/>
      </c>
    </row>
    <row r="26">
      <c r="A26" s="9" t="inlineStr">
        <is>
          <t>Pró-labore acumulado — sócios (R$)</t>
        </is>
      </c>
      <c r="B26" s="27">
        <f>B24</f>
        <v/>
      </c>
      <c r="C26" s="27">
        <f>B26+C24</f>
        <v/>
      </c>
      <c r="D26" s="27">
        <f>C26+D24</f>
        <v/>
      </c>
    </row>
    <row r="27">
      <c r="A27" s="9" t="inlineStr">
        <is>
          <t>Caixa do negócio acumulado (R$)</t>
        </is>
      </c>
      <c r="B27" s="27">
        <f>B25</f>
        <v/>
      </c>
      <c r="C27" s="27">
        <f>B27+C25</f>
        <v/>
      </c>
      <c r="D27" s="27">
        <f>C27+D25</f>
        <v/>
      </c>
    </row>
    <row r="29">
      <c r="A29" s="8" t="inlineStr">
        <is>
          <t>Comparação A × B</t>
        </is>
      </c>
    </row>
    <row r="30">
      <c r="A30" s="42" t="inlineStr">
        <is>
          <t>Indicador</t>
        </is>
      </c>
      <c r="B30" s="28" t="inlineStr">
        <is>
          <t>Estratégia A</t>
        </is>
      </c>
      <c r="C30" s="28" t="inlineStr">
        <is>
          <t>Estratégia B</t>
        </is>
      </c>
      <c r="D30" s="19" t="inlineStr"/>
    </row>
    <row r="31">
      <c r="A31" s="9" t="inlineStr">
        <is>
          <t>Sócios começam a receber</t>
        </is>
      </c>
      <c r="B31" s="50" t="inlineStr">
        <is>
          <t>mês 5</t>
        </is>
      </c>
      <c r="C31" s="50" t="inlineStr">
        <is>
          <t>mês 13 (ano 2)</t>
        </is>
      </c>
      <c r="D31" s="51" t="inlineStr"/>
    </row>
    <row r="32">
      <c r="A32" s="9" t="inlineStr">
        <is>
          <t>Pró-labore no ano 1 (R$)</t>
        </is>
      </c>
      <c r="B32" s="46">
        <f>B17</f>
        <v/>
      </c>
      <c r="C32" s="46">
        <f>B24</f>
        <v/>
      </c>
      <c r="D32" s="51" t="inlineStr"/>
    </row>
    <row r="33">
      <c r="A33" s="22" t="inlineStr">
        <is>
          <t>Caixa reinvestido no negócio — ano 1 (R$)</t>
        </is>
      </c>
      <c r="B33" s="48">
        <f>B18</f>
        <v/>
      </c>
      <c r="C33" s="48">
        <f>B25</f>
        <v/>
      </c>
      <c r="D33" s="51" t="inlineStr"/>
    </row>
    <row r="34">
      <c r="A34" s="9" t="inlineStr">
        <is>
          <t>Pró-labore acumulado — 3 anos (R$)</t>
        </is>
      </c>
      <c r="B34" s="46">
        <f>D19</f>
        <v/>
      </c>
      <c r="C34" s="46">
        <f>D26</f>
        <v/>
      </c>
      <c r="D34" s="51" t="inlineStr"/>
    </row>
    <row r="35">
      <c r="A35" s="9" t="inlineStr">
        <is>
          <t>Caixa do negócio acumulado — 3 anos (R$)</t>
        </is>
      </c>
      <c r="B35" s="46">
        <f>D20</f>
        <v/>
      </c>
      <c r="C35" s="46">
        <f>D27</f>
        <v/>
      </c>
      <c r="D35" s="51" t="inlineStr"/>
    </row>
    <row r="37">
      <c r="A37" s="11" t="inlineStr">
        <is>
          <t>Leitura: a Estratégia B mantém TODO o caixa no negócio no ano 1 (o ano mais frágil e faminto por capital) — ~R$ 17 mil vs ~R$ 1 mil da A —, acelerando a escala e a aproximação do lote China. Os sócios não retiram nada no ano 1 (exige outra renda nesse período), começam modestos no ano 2 (R$ 500→R$ 2.000 cada) e só ampliam no ano 3, quando o negócio claramente se sustenta. A trajetória de vendas é a MESMA nas duas (conservador: o reinvestimento extra da B tende a elevar ainda mais o crescimento). Ano 2-3 ILUSTRATIVOS — ajuste as células azuis. Tributos: ano 1 MEI; ano 2-3 já em ME/Simples (receita acima do teto MEI).</t>
        </is>
      </c>
    </row>
    <row r="38"/>
    <row r="39"/>
    <row r="40"/>
    <row r="41"/>
  </sheetData>
  <mergeCells count="6">
    <mergeCell ref="A1:D1"/>
    <mergeCell ref="A22:D22"/>
    <mergeCell ref="A3:D3"/>
    <mergeCell ref="A29:D29"/>
    <mergeCell ref="A16:D16"/>
    <mergeCell ref="A37:D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ESTUDO DE VIABILIDADE ECONÔMICO-FINANCEIRA (5 anos) — Estratégia B</t>
        </is>
      </c>
    </row>
    <row r="2">
      <c r="A2" s="19" t="inlineStr"/>
      <c r="B2" s="28" t="inlineStr">
        <is>
          <t>Ano 0</t>
        </is>
      </c>
      <c r="C2" s="28" t="inlineStr">
        <is>
          <t>Ano 1</t>
        </is>
      </c>
      <c r="D2" s="28" t="inlineStr">
        <is>
          <t>Ano 2</t>
        </is>
      </c>
      <c r="E2" s="28" t="inlineStr">
        <is>
          <t>Ano 3</t>
        </is>
      </c>
      <c r="F2" s="28" t="inlineStr">
        <is>
          <t>Ano 4</t>
        </is>
      </c>
      <c r="G2" s="28" t="inlineStr">
        <is>
          <t>Ano 5</t>
        </is>
      </c>
    </row>
    <row r="3">
      <c r="A3" s="8" t="inlineStr">
        <is>
          <t>Premissas de trajetória (edite as células azuis)</t>
        </is>
      </c>
    </row>
    <row r="4">
      <c r="A4" s="9" t="inlineStr">
        <is>
          <t>Unidades vendidas (un)</t>
        </is>
      </c>
      <c r="B4" s="51" t="inlineStr"/>
      <c r="C4" s="18" t="n">
        <v>387</v>
      </c>
      <c r="D4" s="18" t="n">
        <v>1440</v>
      </c>
      <c r="E4" s="18" t="n">
        <v>3000</v>
      </c>
      <c r="F4" s="18" t="n">
        <v>4800</v>
      </c>
      <c r="G4" s="18" t="n">
        <v>6800</v>
      </c>
    </row>
    <row r="5">
      <c r="A5" s="9" t="inlineStr">
        <is>
          <t>Preço médio (R$)</t>
        </is>
      </c>
      <c r="B5" s="51" t="inlineStr"/>
      <c r="C5" s="13" t="n">
        <v>114</v>
      </c>
      <c r="D5" s="13" t="n">
        <v>124</v>
      </c>
      <c r="E5" s="13" t="n">
        <v>129</v>
      </c>
      <c r="F5" s="13" t="n">
        <v>134</v>
      </c>
      <c r="G5" s="13" t="n">
        <v>138</v>
      </c>
    </row>
    <row r="6">
      <c r="A6" s="9" t="inlineStr">
        <is>
          <t>Custo/un (R$)</t>
        </is>
      </c>
      <c r="B6" s="51" t="inlineStr"/>
      <c r="C6" s="13" t="n">
        <v>45</v>
      </c>
      <c r="D6" s="13" t="n">
        <v>42</v>
      </c>
      <c r="E6" s="13" t="n">
        <v>33</v>
      </c>
      <c r="F6" s="13" t="n">
        <v>30</v>
      </c>
      <c r="G6" s="13" t="n">
        <v>28</v>
      </c>
    </row>
    <row r="7">
      <c r="A7" s="9" t="inlineStr">
        <is>
          <t>MC/un blended (R$)</t>
        </is>
      </c>
      <c r="B7" s="51" t="inlineStr"/>
      <c r="C7" s="21">
        <f>((C5-(C5*Premissas!$B$22+Premissas!$B$25+C5*Premissas!$B$26+Premissas!$B$23))*Premissas!$B$16+(C5-(C5*Premissas!$B$18+Premissas!$B$25+Premissas!$B$21+C5*Premissas!$B$26))*Premissas!$B$17)-C6</f>
        <v/>
      </c>
      <c r="D7" s="21">
        <f>((D5-(D5*Premissas!$B$22+Premissas!$B$25+D5*Premissas!$B$26+Premissas!$B$23))*Premissas!$B$16+(D5-(D5*Premissas!$B$18+Premissas!$B$25+Premissas!$B$21+D5*Premissas!$B$26))*Premissas!$B$17)-D6</f>
        <v/>
      </c>
      <c r="E7" s="21">
        <f>((E5-(E5*Premissas!$B$22+Premissas!$B$25+E5*Premissas!$B$26+Premissas!$B$23))*Premissas!$B$16+(E5-(E5*Premissas!$B$18+Premissas!$B$25+Premissas!$B$21+E5*Premissas!$B$26))*Premissas!$B$17)-E6</f>
        <v/>
      </c>
      <c r="F7" s="21">
        <f>((F5-(F5*Premissas!$B$22+Premissas!$B$25+F5*Premissas!$B$26+Premissas!$B$23))*Premissas!$B$16+(F5-(F5*Premissas!$B$18+Premissas!$B$25+Premissas!$B$21+F5*Premissas!$B$26))*Premissas!$B$17)-F6</f>
        <v/>
      </c>
      <c r="G7" s="21">
        <f>((G5-(G5*Premissas!$B$22+Premissas!$B$25+G5*Premissas!$B$26+Premissas!$B$23))*Premissas!$B$16+(G5-(G5*Premissas!$B$18+Premissas!$B$25+Premissas!$B$21+G5*Premissas!$B$26))*Premissas!$B$17)-G6</f>
        <v/>
      </c>
    </row>
    <row r="8">
      <c r="A8" s="9" t="inlineStr">
        <is>
          <t>Marketing (R$)</t>
        </is>
      </c>
      <c r="B8" s="51" t="inlineStr"/>
      <c r="C8" s="10" t="n">
        <v>2900</v>
      </c>
      <c r="D8" s="10" t="n">
        <v>12000</v>
      </c>
      <c r="E8" s="10" t="n">
        <v>25000</v>
      </c>
      <c r="F8" s="10" t="n">
        <v>45000</v>
      </c>
      <c r="G8" s="10" t="n">
        <v>70000</v>
      </c>
    </row>
    <row r="9">
      <c r="A9" s="9" t="inlineStr">
        <is>
          <t>Impostos s/ venda — % (ano 1 = MEI fixo)</t>
        </is>
      </c>
      <c r="B9" s="51" t="inlineStr"/>
      <c r="C9" s="17" t="n">
        <v>0</v>
      </c>
      <c r="D9" s="17" t="n">
        <v>0.05</v>
      </c>
      <c r="E9" s="17" t="n">
        <v>0.07000000000000001</v>
      </c>
      <c r="F9" s="17" t="n">
        <v>0.09</v>
      </c>
      <c r="G9" s="17" t="n">
        <v>0.1</v>
      </c>
    </row>
    <row r="10">
      <c r="A10" s="9" t="inlineStr">
        <is>
          <t>Pró-labore — Estratégia B (R$)</t>
        </is>
      </c>
      <c r="B10" s="51" t="inlineStr"/>
      <c r="C10" s="10" t="n">
        <v>0</v>
      </c>
      <c r="D10" s="10" t="n">
        <v>30000</v>
      </c>
      <c r="E10" s="10" t="n">
        <v>72000</v>
      </c>
      <c r="F10" s="10" t="n">
        <v>96000</v>
      </c>
      <c r="G10" s="10" t="n">
        <v>120000</v>
      </c>
    </row>
    <row r="11">
      <c r="A11" s="9" t="inlineStr">
        <is>
          <t>Outras despesas (contador, software) (R$)</t>
        </is>
      </c>
      <c r="B11" s="51" t="inlineStr"/>
      <c r="C11" s="10" t="n">
        <v>1200</v>
      </c>
      <c r="D11" s="10" t="n">
        <v>6000</v>
      </c>
      <c r="E11" s="10" t="n">
        <v>12000</v>
      </c>
      <c r="F11" s="10" t="n">
        <v>20000</v>
      </c>
      <c r="G11" s="10" t="n">
        <v>28000</v>
      </c>
    </row>
    <row r="12">
      <c r="A12" s="8" t="inlineStr">
        <is>
          <t>Parâmetros financeiros</t>
        </is>
      </c>
    </row>
    <row r="13">
      <c r="A13" s="9" t="inlineStr">
        <is>
          <t>Investimento inicial — Ano 0 (R$)</t>
        </is>
      </c>
      <c r="B13" s="10" t="n">
        <v>5000</v>
      </c>
    </row>
    <row r="14">
      <c r="A14" s="9" t="inlineStr">
        <is>
          <t>Dias de estoque (capital de giro)</t>
        </is>
      </c>
      <c r="C14" s="18" t="n">
        <v>60</v>
      </c>
    </row>
    <row r="15">
      <c r="A15" s="9" t="inlineStr">
        <is>
          <t>Taxa de desconto — base / mín / máx</t>
        </is>
      </c>
      <c r="C15" s="17" t="n">
        <v>0.135</v>
      </c>
      <c r="D15" s="17" t="n">
        <v>0.12</v>
      </c>
      <c r="E15" s="17" t="n">
        <v>0.15</v>
      </c>
    </row>
    <row r="16">
      <c r="A16" s="8" t="inlineStr">
        <is>
          <t>DRE &amp; fluxo de caixa (R$)</t>
        </is>
      </c>
    </row>
    <row r="17">
      <c r="A17" s="9" t="inlineStr">
        <is>
          <t>Receita bruta</t>
        </is>
      </c>
      <c r="B17" s="51" t="inlineStr"/>
      <c r="C17" s="27">
        <f>C4*C5</f>
        <v/>
      </c>
      <c r="D17" s="27">
        <f>D4*D5</f>
        <v/>
      </c>
      <c r="E17" s="27">
        <f>E4*E5</f>
        <v/>
      </c>
      <c r="F17" s="27">
        <f>F4*F5</f>
        <v/>
      </c>
      <c r="G17" s="27">
        <f>G4*G5</f>
        <v/>
      </c>
    </row>
    <row r="18">
      <c r="A18" s="9" t="inlineStr">
        <is>
          <t>Margem de contribuição</t>
        </is>
      </c>
      <c r="B18" s="51" t="inlineStr"/>
      <c r="C18" s="27">
        <f>C4*C7</f>
        <v/>
      </c>
      <c r="D18" s="27">
        <f>D4*D7</f>
        <v/>
      </c>
      <c r="E18" s="27">
        <f>E4*E7</f>
        <v/>
      </c>
      <c r="F18" s="27">
        <f>F4*F7</f>
        <v/>
      </c>
      <c r="G18" s="27">
        <f>G4*G7</f>
        <v/>
      </c>
    </row>
    <row r="19">
      <c r="A19" s="9" t="inlineStr">
        <is>
          <t>(−) Marketing</t>
        </is>
      </c>
      <c r="B19" s="51" t="inlineStr"/>
      <c r="C19" s="27">
        <f>C8</f>
        <v/>
      </c>
      <c r="D19" s="27">
        <f>D8</f>
        <v/>
      </c>
      <c r="E19" s="27">
        <f>E8</f>
        <v/>
      </c>
      <c r="F19" s="27">
        <f>F8</f>
        <v/>
      </c>
      <c r="G19" s="27">
        <f>G8</f>
        <v/>
      </c>
    </row>
    <row r="20">
      <c r="A20" s="9" t="inlineStr">
        <is>
          <t>(−) Pró-labore</t>
        </is>
      </c>
      <c r="B20" s="51" t="inlineStr"/>
      <c r="C20" s="27">
        <f>C10</f>
        <v/>
      </c>
      <c r="D20" s="27">
        <f>D10</f>
        <v/>
      </c>
      <c r="E20" s="27">
        <f>E10</f>
        <v/>
      </c>
      <c r="F20" s="27">
        <f>F10</f>
        <v/>
      </c>
      <c r="G20" s="27">
        <f>G10</f>
        <v/>
      </c>
    </row>
    <row r="21">
      <c r="A21" s="9" t="inlineStr">
        <is>
          <t>(−) Outras despesas</t>
        </is>
      </c>
      <c r="B21" s="51" t="inlineStr"/>
      <c r="C21" s="27">
        <f>C11</f>
        <v/>
      </c>
      <c r="D21" s="27">
        <f>D11</f>
        <v/>
      </c>
      <c r="E21" s="27">
        <f>E11</f>
        <v/>
      </c>
      <c r="F21" s="27">
        <f>F11</f>
        <v/>
      </c>
      <c r="G21" s="27">
        <f>G11</f>
        <v/>
      </c>
    </row>
    <row r="22">
      <c r="A22" s="9" t="inlineStr">
        <is>
          <t>(−) Impostos (Simples/MEI)</t>
        </is>
      </c>
      <c r="B22" s="51" t="inlineStr"/>
      <c r="C22" s="29">
        <f>Premissas!$B$27*12</f>
        <v/>
      </c>
      <c r="D22" s="29">
        <f>D9*D17</f>
        <v/>
      </c>
      <c r="E22" s="29">
        <f>E9*E17</f>
        <v/>
      </c>
      <c r="F22" s="29">
        <f>F9*F17</f>
        <v/>
      </c>
      <c r="G22" s="29">
        <f>G9*G17</f>
        <v/>
      </c>
    </row>
    <row r="23">
      <c r="A23" s="22" t="inlineStr">
        <is>
          <t>(=) Resultado operacional</t>
        </is>
      </c>
      <c r="B23" s="51" t="inlineStr"/>
      <c r="C23" s="30">
        <f>C18-C19-C20-C21-C22</f>
        <v/>
      </c>
      <c r="D23" s="30">
        <f>D18-D19-D20-D21-D22</f>
        <v/>
      </c>
      <c r="E23" s="30">
        <f>E18-E19-E20-E21-E22</f>
        <v/>
      </c>
      <c r="F23" s="30">
        <f>F18-F19-F20-F21-F22</f>
        <v/>
      </c>
      <c r="G23" s="30">
        <f>G18-G19-G20-G21-G22</f>
        <v/>
      </c>
    </row>
    <row r="24">
      <c r="A24" s="9" t="inlineStr">
        <is>
          <t>COGS (memo)</t>
        </is>
      </c>
      <c r="B24" s="51" t="inlineStr"/>
      <c r="C24" s="27">
        <f>C4*C6</f>
        <v/>
      </c>
      <c r="D24" s="27">
        <f>D4*D6</f>
        <v/>
      </c>
      <c r="E24" s="27">
        <f>E4*E6</f>
        <v/>
      </c>
      <c r="F24" s="27">
        <f>F4*F6</f>
        <v/>
      </c>
      <c r="G24" s="27">
        <f>G4*G6</f>
        <v/>
      </c>
    </row>
    <row r="25">
      <c r="A25" s="9" t="inlineStr">
        <is>
          <t>Capital de giro — estoque</t>
        </is>
      </c>
      <c r="B25" s="51" t="inlineStr"/>
      <c r="C25" s="27">
        <f>C24*$C$14/360</f>
        <v/>
      </c>
      <c r="D25" s="27">
        <f>D24*$C$14/360</f>
        <v/>
      </c>
      <c r="E25" s="27">
        <f>E24*$C$14/360</f>
        <v/>
      </c>
      <c r="F25" s="27">
        <f>F24*$C$14/360</f>
        <v/>
      </c>
      <c r="G25" s="27">
        <f>G24*$C$14/360</f>
        <v/>
      </c>
    </row>
    <row r="26">
      <c r="A26" s="9" t="inlineStr">
        <is>
          <t>(−) Δ capital de giro</t>
        </is>
      </c>
      <c r="B26" s="51" t="inlineStr"/>
      <c r="C26" s="27">
        <f>C25</f>
        <v/>
      </c>
      <c r="D26" s="27">
        <f>D25-C25</f>
        <v/>
      </c>
      <c r="E26" s="27">
        <f>E25-D25</f>
        <v/>
      </c>
      <c r="F26" s="27">
        <f>F25-E25</f>
        <v/>
      </c>
      <c r="G26" s="27">
        <f>G25-F25</f>
        <v/>
      </c>
    </row>
    <row r="27">
      <c r="A27" s="22" t="inlineStr">
        <is>
          <t>(=) Fluxo de caixa livre</t>
        </is>
      </c>
      <c r="B27" s="30">
        <f>-B13</f>
        <v/>
      </c>
      <c r="C27" s="30">
        <f>C23-C26</f>
        <v/>
      </c>
      <c r="D27" s="30">
        <f>D23-D26</f>
        <v/>
      </c>
      <c r="E27" s="30">
        <f>E23-E26</f>
        <v/>
      </c>
      <c r="F27" s="30">
        <f>F23-F26</f>
        <v/>
      </c>
      <c r="G27" s="30">
        <f>G23-G26</f>
        <v/>
      </c>
    </row>
    <row r="28">
      <c r="A28" s="9" t="inlineStr">
        <is>
          <t>FCF acumulado</t>
        </is>
      </c>
      <c r="B28" s="27">
        <f>B27</f>
        <v/>
      </c>
      <c r="C28" s="27">
        <f>B28+C27</f>
        <v/>
      </c>
      <c r="D28" s="27">
        <f>C28+D27</f>
        <v/>
      </c>
      <c r="E28" s="27">
        <f>D28+E27</f>
        <v/>
      </c>
      <c r="F28" s="27">
        <f>E28+F27</f>
        <v/>
      </c>
      <c r="G28" s="27">
        <f>F28+G27</f>
        <v/>
      </c>
    </row>
    <row r="29">
      <c r="A29" s="9" t="inlineStr">
        <is>
          <t>FCF descontado @ base</t>
        </is>
      </c>
      <c r="B29" s="29">
        <f>B27</f>
        <v/>
      </c>
      <c r="C29" s="29">
        <f>C27/(1+$C$15)^1</f>
        <v/>
      </c>
      <c r="D29" s="29">
        <f>D27/(1+$C$15)^2</f>
        <v/>
      </c>
      <c r="E29" s="29">
        <f>E27/(1+$C$15)^3</f>
        <v/>
      </c>
      <c r="F29" s="29">
        <f>F27/(1+$C$15)^4</f>
        <v/>
      </c>
      <c r="G29" s="29">
        <f>G27/(1+$C$15)^5</f>
        <v/>
      </c>
    </row>
    <row r="30">
      <c r="A30" s="9" t="inlineStr">
        <is>
          <t>FCF descontado acumulado</t>
        </is>
      </c>
      <c r="B30" s="27">
        <f>B29</f>
        <v/>
      </c>
      <c r="C30" s="27">
        <f>B30+C29</f>
        <v/>
      </c>
      <c r="D30" s="27">
        <f>C30+D29</f>
        <v/>
      </c>
      <c r="E30" s="27">
        <f>D30+E29</f>
        <v/>
      </c>
      <c r="F30" s="27">
        <f>E30+F29</f>
        <v/>
      </c>
      <c r="G30" s="27">
        <f>F30+G29</f>
        <v/>
      </c>
    </row>
    <row r="32">
      <c r="A32" s="8" t="inlineStr">
        <is>
          <t>Indicadores de viabilidade</t>
        </is>
      </c>
    </row>
    <row r="33">
      <c r="A33" s="22" t="inlineStr">
        <is>
          <t>VPL @ base (13,5%) (R$)</t>
        </is>
      </c>
      <c r="B33" s="52">
        <f>NPV($C$15,C27:G27)+B27</f>
        <v/>
      </c>
    </row>
    <row r="34">
      <c r="A34" s="9" t="inlineStr">
        <is>
          <t>VPL @ mín 12% | máx 15% (R$)</t>
        </is>
      </c>
      <c r="B34" s="53">
        <f>NPV($D$15,C27:G27)+B27</f>
        <v/>
      </c>
      <c r="C34" s="53">
        <f>NPV($E$15,C27:G27)+B27</f>
        <v/>
      </c>
    </row>
    <row r="35">
      <c r="A35" s="22" t="inlineStr">
        <is>
          <t>TIR (a.a.)</t>
        </is>
      </c>
      <c r="B35" s="54">
        <f>IRR(B27:G27)</f>
        <v/>
      </c>
    </row>
    <row r="36">
      <c r="A36" s="9" t="inlineStr">
        <is>
          <t>Payback descontado</t>
        </is>
      </c>
      <c r="B36" s="32" t="inlineStr">
        <is>
          <t>ano 1 (caixa descontado acumulado já positivo no ano 1)</t>
        </is>
      </c>
      <c r="C36" s="33" t="n"/>
      <c r="D36" s="33" t="n"/>
      <c r="E36" s="33" t="n"/>
      <c r="F36" s="33" t="n"/>
      <c r="G36" s="34" t="n"/>
    </row>
    <row r="37">
      <c r="A37" s="9" t="inlineStr">
        <is>
          <t>Necessidade de capital — pior caixa acum. (R$)</t>
        </is>
      </c>
      <c r="B37" s="53">
        <f>-MIN(B28:G28)</f>
        <v/>
      </c>
    </row>
    <row r="39">
      <c r="A39" s="11" t="inlineStr">
        <is>
          <t>Observações: (1) VPL/TIR são fortemente positivos porque o CAPITAL inicial (R$ 5 mil) é mínimo — o 'investimento' real é o trabalho dos sócios (pró-labore abaixo do mercado no início, Estratégia B) e o risco de execução/aquisição, não caixa. Leia a TIR com essa ressalva. (2) Anos 3–5 são ILUSTRATIVOS: dependem de escalar via China (≥3.000 un), de construir audiência e do vento do ciclo de concursos em 2027. (3) Escala 100% AUTOFINANCIADA (decisão dos sócios): sem pré-venda e sem empréstimo/aporte. Gatilho de capitalização — importar só quando caixa acumulado &gt;= custo do lote + colchão de 3 meses (~R$ 135 mil) E volume &gt;= ~5.000 un/ano; pelo FCF acumulado, isso ocorre no fim do ano 3/ano 4. Ponte: escalar em lotes BR offset crescentes pagos pela receita (~R$ 18-32/un no volume) — a China é opcionalidade, não necessidade; não há 'abismo' de R$ 99 mil. (4) Capital de giro modelado como estoque médio (dias editáveis); pix/pré-venda antecipa caixa e o reduz. Ajuste as células azuis.</t>
        </is>
      </c>
    </row>
    <row r="40"/>
    <row r="41"/>
    <row r="42"/>
    <row r="43"/>
    <row r="44"/>
  </sheetData>
  <mergeCells count="7">
    <mergeCell ref="A32:G32"/>
    <mergeCell ref="A1:G1"/>
    <mergeCell ref="B36:G36"/>
    <mergeCell ref="A3:G3"/>
    <mergeCell ref="A39:G44"/>
    <mergeCell ref="A12:G12"/>
    <mergeCell ref="A16:G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52" customWidth="1" min="4" max="4"/>
  </cols>
  <sheetData>
    <row r="1">
      <c r="A1" s="7" t="inlineStr">
        <is>
          <t>LTV, RECOMPRA &amp; TAMANHO DO MERCADO RECORRENTE</t>
        </is>
      </c>
    </row>
    <row r="2">
      <c r="A2" s="19" t="inlineStr"/>
      <c r="B2" s="28" t="inlineStr">
        <is>
          <t>Concurseiro</t>
        </is>
      </c>
      <c r="C2" s="28" t="inlineStr">
        <is>
          <t>Treino de Força</t>
        </is>
      </c>
      <c r="D2" s="19" t="inlineStr"/>
    </row>
    <row r="3">
      <c r="A3" s="8" t="inlineStr">
        <is>
          <t>Recompra &amp; LTV por cliente (edite as azuis)</t>
        </is>
      </c>
    </row>
    <row r="4">
      <c r="A4" s="9" t="inlineStr">
        <is>
          <t>Planners por cliente / ano</t>
        </is>
      </c>
      <c r="B4" s="55" t="n">
        <v>3</v>
      </c>
      <c r="C4" s="55" t="n">
        <v>2.5</v>
      </c>
      <c r="D4" s="11" t="inlineStr">
        <is>
          <t>estudo dura ~3 meses → 3–4/ano; diário de treino ~4–5 meses</t>
        </is>
      </c>
    </row>
    <row r="5">
      <c r="A5" s="9" t="inlineStr">
        <is>
          <t>Anos de permanência (tenure)</t>
        </is>
      </c>
      <c r="B5" s="55" t="n">
        <v>2</v>
      </c>
      <c r="C5" s="55" t="n">
        <v>3</v>
      </c>
      <c r="D5" s="11" t="inlineStr">
        <is>
          <t>concurseiro estuda ~2 anos (Censo 2025); treino é hábito mais longo</t>
        </is>
      </c>
    </row>
    <row r="6">
      <c r="A6" s="9" t="inlineStr">
        <is>
          <t>Unidades por cliente (vida)</t>
        </is>
      </c>
      <c r="B6" s="56">
        <f>B4*B5</f>
        <v/>
      </c>
      <c r="C6" s="56">
        <f>C4*C5</f>
        <v/>
      </c>
    </row>
    <row r="7">
      <c r="A7" s="9" t="inlineStr">
        <is>
          <t>Preço (R$)</t>
        </is>
      </c>
      <c r="B7" s="13" t="n">
        <v>119</v>
      </c>
      <c r="C7" s="13" t="n">
        <v>109</v>
      </c>
    </row>
    <row r="8">
      <c r="A8" s="9" t="inlineStr">
        <is>
          <t>MC/un direto na recompra (R$)</t>
        </is>
      </c>
      <c r="B8" s="21">
        <f>B7-(B7*Premissas!$B$22+Premissas!$B$25+B7*Premissas!$B$26+Premissas!$B$23)-Premissas!$B$14</f>
        <v/>
      </c>
      <c r="C8" s="21">
        <f>C7-(C7*Premissas!$B$22+Premissas!$B$25+C7*Premissas!$B$26+Premissas!$B$23)-Premissas!$B$14</f>
        <v/>
      </c>
    </row>
    <row r="9">
      <c r="A9" s="9" t="inlineStr">
        <is>
          <t>LTV — receita (R$)</t>
        </is>
      </c>
      <c r="B9" s="27">
        <f>B6*B7</f>
        <v/>
      </c>
      <c r="C9" s="27">
        <f>C6*C7</f>
        <v/>
      </c>
    </row>
    <row r="10">
      <c r="A10" s="22" t="inlineStr">
        <is>
          <t>LTV — margem de contribuição (R$)</t>
        </is>
      </c>
      <c r="B10" s="30">
        <f>B6*B8</f>
        <v/>
      </c>
      <c r="C10" s="30">
        <f>C6*C8</f>
        <v/>
      </c>
    </row>
    <row r="11">
      <c r="A11" s="9" t="inlineStr">
        <is>
          <t>CAC alvo (R$)</t>
        </is>
      </c>
      <c r="B11" s="13" t="n">
        <v>50</v>
      </c>
      <c r="C11" s="13" t="n">
        <v>50</v>
      </c>
    </row>
    <row r="12">
      <c r="A12" s="22" t="inlineStr">
        <is>
          <t>LTV/CAC (margem)</t>
        </is>
      </c>
      <c r="B12" s="57">
        <f>B10/B11</f>
        <v/>
      </c>
      <c r="C12" s="57">
        <f>C10/C11</f>
        <v/>
      </c>
      <c r="D12" s="11" t="inlineStr">
        <is>
          <t>acima de 3× é saudável; recompra é o que sustenta CAC pago</t>
        </is>
      </c>
    </row>
    <row r="13">
      <c r="A13" s="8" t="inlineStr">
        <is>
          <t>Tamanho do mercado RECORRENTE (anual)</t>
        </is>
      </c>
    </row>
    <row r="14">
      <c r="A14" s="9" t="inlineStr">
        <is>
          <t>Base de compradores premium (pessoas)</t>
        </is>
      </c>
      <c r="B14" s="18" t="n">
        <v>550000</v>
      </c>
      <c r="C14" s="18" t="n">
        <v>260000</v>
      </c>
      <c r="D14" s="11" t="inlineStr">
        <is>
          <t>ponto médio do SAM (Conc 400–700k; Treino 150–370k)</t>
        </is>
      </c>
    </row>
    <row r="15">
      <c r="A15" s="22" t="inlineStr">
        <is>
          <t>Unidades/ano — mercado (un)</t>
        </is>
      </c>
      <c r="B15" s="58">
        <f>B14*B4</f>
        <v/>
      </c>
      <c r="C15" s="58">
        <f>C14*C4</f>
        <v/>
      </c>
    </row>
    <row r="16">
      <c r="A16" s="22" t="inlineStr">
        <is>
          <t>R$/ano — mercado (receita)</t>
        </is>
      </c>
      <c r="B16" s="30">
        <f>B15*B7</f>
        <v/>
      </c>
      <c r="C16" s="30">
        <f>C15*C7</f>
        <v/>
      </c>
    </row>
    <row r="17">
      <c r="A17" s="9" t="inlineStr">
        <is>
          <t>Recompra por 1.000 clientes ativos (un/ano)</t>
        </is>
      </c>
      <c r="B17" s="59">
        <f>1000*B4</f>
        <v/>
      </c>
      <c r="C17" s="59">
        <f>1000*C4</f>
        <v/>
      </c>
    </row>
    <row r="18">
      <c r="A18" s="8" t="inlineStr">
        <is>
          <t>Fluxo de NOVOS clientes / ano</t>
        </is>
      </c>
    </row>
    <row r="19">
      <c r="A19" s="9" t="inlineStr">
        <is>
          <t>Base ativa total (pessoas)</t>
        </is>
      </c>
      <c r="B19" s="18" t="n">
        <v>5000000</v>
      </c>
      <c r="C19" s="18" t="n">
        <v>1500000</v>
      </c>
      <c r="D19" s="11" t="inlineStr">
        <is>
          <t>Conc: 4–6M ativos; Treino: ~1,3–3M praticantes sérios/periodizados</t>
        </is>
      </c>
    </row>
    <row r="20">
      <c r="A20" s="9" t="inlineStr">
        <is>
          <t>Novos entrantes / ano (= base ÷ tenure)</t>
        </is>
      </c>
      <c r="B20" s="25">
        <f>B19/B5</f>
        <v/>
      </c>
      <c r="C20" s="25">
        <f>C19/C5</f>
        <v/>
      </c>
    </row>
    <row r="21">
      <c r="A21" s="9" t="inlineStr">
        <is>
          <t>% elegível a planner premium</t>
        </is>
      </c>
      <c r="B21" s="17" t="n">
        <v>0.11</v>
      </c>
      <c r="C21" s="17" t="n">
        <v>0.18</v>
      </c>
    </row>
    <row r="22">
      <c r="A22" s="22" t="inlineStr">
        <is>
          <t>Novos compradores premium / ano</t>
        </is>
      </c>
      <c r="B22" s="58">
        <f>B20*B21</f>
        <v/>
      </c>
      <c r="C22" s="58">
        <f>C20*C21</f>
        <v/>
      </c>
    </row>
    <row r="23">
      <c r="A23" s="8" t="inlineStr">
        <is>
          <t>Saturação &amp; abastecimento</t>
        </is>
      </c>
    </row>
    <row r="24">
      <c r="A24" s="9" t="inlineStr">
        <is>
          <t>Sua venda/ano (ex.: SOM ano 1)</t>
        </is>
      </c>
      <c r="B24" s="18" t="n">
        <v>250</v>
      </c>
      <c r="C24" s="18" t="n">
        <v>200</v>
      </c>
    </row>
    <row r="25">
      <c r="A25" s="22" t="inlineStr">
        <is>
          <t>Share do mercado recorrente</t>
        </is>
      </c>
      <c r="B25" s="60">
        <f>B24/B15</f>
        <v/>
      </c>
      <c r="C25" s="60">
        <f>C24/C15</f>
        <v/>
      </c>
    </row>
    <row r="26">
      <c r="A26" s="11" t="inlineStr">
        <is>
          <t>Leitura: por ser CONSUMÍVEL (o concurseiro recompra 3–4×/ano), o mercado é muito maior em FLUXO do que em 'pessoas': ~2,3 milhões de un/ano (~R$ 267 mi/ano somando os dois nichos, no teto em que todos recompram no ritmo pleno). O LTV/CAC alto (~7–8× no orgânico) mostra que a RECOMPRA é o motor — e que mesmo CAC pago (R$ 120–150) cabe no LTV (~R$ 375–400 de margem). Saturação NÃO é risco por anos (share &lt; 0,1%); o limite é AQUISIÇÃO + cadência de produção. 'Não desabastecer' = produzir por reposição make-to-demand com estoque de segurança; como o produto é perpétuo, encalhe quase não 'vence'. Premissas-chave a validar: planners/ano por cliente e % elegível (são as que mais movem o resultado).</t>
        </is>
      </c>
    </row>
    <row r="27"/>
    <row r="28"/>
    <row r="29"/>
  </sheetData>
  <mergeCells count="6">
    <mergeCell ref="A1:D1"/>
    <mergeCell ref="A23:D23"/>
    <mergeCell ref="A18:D18"/>
    <mergeCell ref="A26:D29"/>
    <mergeCell ref="A3:D3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2026-06-19T18:39:50Z</dcterms:created>
  <dcterms:modified xsi:type="dcterms:W3CDTF">2026-06-19T18:39:50Z</dcterms:modified>
</cp:coreProperties>
</file>